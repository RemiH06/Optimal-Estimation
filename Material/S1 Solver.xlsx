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ecto\OneDrive\Escritorio\ITESO\6to Semestre\AEM\"/>
    </mc:Choice>
  </mc:AlternateContent>
  <xr:revisionPtr revIDLastSave="0" documentId="13_ncr:1_{148CC91D-398D-4837-966E-05CE383EADC6}" xr6:coauthVersionLast="47" xr6:coauthVersionMax="47" xr10:uidLastSave="{00000000-0000-0000-0000-000000000000}"/>
  <bookViews>
    <workbookView xWindow="-108" yWindow="-108" windowWidth="23256" windowHeight="12456" xr2:uid="{9C9F0153-D203-4EBC-8A82-B73AD1882686}"/>
  </bookViews>
  <sheets>
    <sheet name="Example 1" sheetId="6" r:id="rId1"/>
    <sheet name="Example 2" sheetId="1" r:id="rId2"/>
    <sheet name="Example 3" sheetId="5" r:id="rId3"/>
  </sheets>
  <definedNames>
    <definedName name="solver_adj" localSheetId="0" hidden="1">'Example 1'!$G$23:$G$24</definedName>
    <definedName name="solver_adj" localSheetId="1" hidden="1">'Example 2'!$G$23:$G$24</definedName>
    <definedName name="solver_cvg" localSheetId="0" hidden="1">0.0001</definedName>
    <definedName name="solver_cvg" localSheetId="1" hidden="1">0.0001</definedName>
    <definedName name="solver_cvg" localSheetId="2" hidden="1">0.0001</definedName>
    <definedName name="solver_drv" localSheetId="0" hidden="1">1</definedName>
    <definedName name="solver_drv" localSheetId="1" hidden="1">1</definedName>
    <definedName name="solver_drv" localSheetId="2" hidden="1">1</definedName>
    <definedName name="solver_eng" localSheetId="0" hidden="1">2</definedName>
    <definedName name="solver_eng" localSheetId="1" hidden="1">1</definedName>
    <definedName name="solver_eng" localSheetId="2" hidden="1">1</definedName>
    <definedName name="solver_est" localSheetId="0" hidden="1">1</definedName>
    <definedName name="solver_est" localSheetId="1" hidden="1">1</definedName>
    <definedName name="solver_est" localSheetId="2" hidden="1">1</definedName>
    <definedName name="solver_itr" localSheetId="0" hidden="1">2147483647</definedName>
    <definedName name="solver_itr" localSheetId="1" hidden="1">2147483647</definedName>
    <definedName name="solver_itr" localSheetId="2" hidden="1">2147483647</definedName>
    <definedName name="solver_lhs1" localSheetId="0" hidden="1">'Example 1'!$G$23</definedName>
    <definedName name="solver_lhs1" localSheetId="1" hidden="1">'Example 2'!$G$23</definedName>
    <definedName name="solver_lhs1" localSheetId="2" hidden="1">'Example 3'!$G$22</definedName>
    <definedName name="solver_lhs2" localSheetId="0" hidden="1">'Example 1'!$G$24</definedName>
    <definedName name="solver_lhs2" localSheetId="1" hidden="1">'Example 2'!$G$23</definedName>
    <definedName name="solver_lhs2" localSheetId="2" hidden="1">'Example 3'!$G$22:$G$24</definedName>
    <definedName name="solver_lhs3" localSheetId="0" hidden="1">'Example 1'!$H$25</definedName>
    <definedName name="solver_lhs3" localSheetId="1" hidden="1">'Example 2'!$G$25</definedName>
    <definedName name="solver_lhs3" localSheetId="2" hidden="1">'Example 3'!$G$23</definedName>
    <definedName name="solver_lhs4" localSheetId="0" hidden="1">'Example 1'!$I$25</definedName>
    <definedName name="solver_lhs4" localSheetId="2" hidden="1">'Example 3'!$G$24</definedName>
    <definedName name="solver_lhs5" localSheetId="0" hidden="1">'Example 1'!$H$25</definedName>
    <definedName name="solver_lhs5" localSheetId="2" hidden="1">'Example 3'!$G$25</definedName>
    <definedName name="solver_lhs6" localSheetId="0" hidden="1">'Example 1'!$I$25</definedName>
    <definedName name="solver_lhs6" localSheetId="2" hidden="1">'Example 3'!$I$25</definedName>
    <definedName name="solver_mip" localSheetId="0" hidden="1">2147483647</definedName>
    <definedName name="solver_mip" localSheetId="1" hidden="1">2147483647</definedName>
    <definedName name="solver_mip" localSheetId="2" hidden="1">2147483647</definedName>
    <definedName name="solver_mni" localSheetId="0" hidden="1">30</definedName>
    <definedName name="solver_mni" localSheetId="1" hidden="1">30</definedName>
    <definedName name="solver_mni" localSheetId="2" hidden="1">30</definedName>
    <definedName name="solver_mrt" localSheetId="0" hidden="1">0.075</definedName>
    <definedName name="solver_mrt" localSheetId="1" hidden="1">0.075</definedName>
    <definedName name="solver_mrt" localSheetId="2" hidden="1">0.075</definedName>
    <definedName name="solver_msl" localSheetId="0" hidden="1">2</definedName>
    <definedName name="solver_msl" localSheetId="1" hidden="1">2</definedName>
    <definedName name="solver_msl" localSheetId="2" hidden="1">2</definedName>
    <definedName name="solver_neg" localSheetId="0" hidden="1">1</definedName>
    <definedName name="solver_neg" localSheetId="1" hidden="1">1</definedName>
    <definedName name="solver_neg" localSheetId="2" hidden="1">1</definedName>
    <definedName name="solver_nod" localSheetId="0" hidden="1">2147483647</definedName>
    <definedName name="solver_nod" localSheetId="1" hidden="1">2147483647</definedName>
    <definedName name="solver_nod" localSheetId="2" hidden="1">2147483647</definedName>
    <definedName name="solver_num" localSheetId="0" hidden="1">4</definedName>
    <definedName name="solver_num" localSheetId="1" hidden="1">3</definedName>
    <definedName name="solver_num" localSheetId="2" hidden="1">0</definedName>
    <definedName name="solver_nwt" localSheetId="0" hidden="1">1</definedName>
    <definedName name="solver_nwt" localSheetId="1" hidden="1">1</definedName>
    <definedName name="solver_nwt" localSheetId="2" hidden="1">1</definedName>
    <definedName name="solver_opt" localSheetId="0" hidden="1">'Example 1'!$J$25</definedName>
    <definedName name="solver_opt" localSheetId="1" hidden="1">'Example 2'!$H$25</definedName>
    <definedName name="solver_pre" localSheetId="0" hidden="1">0.000001</definedName>
    <definedName name="solver_pre" localSheetId="1" hidden="1">0.000001</definedName>
    <definedName name="solver_pre" localSheetId="2" hidden="1">0.000001</definedName>
    <definedName name="solver_rbv" localSheetId="0" hidden="1">1</definedName>
    <definedName name="solver_rbv" localSheetId="1" hidden="1">1</definedName>
    <definedName name="solver_rbv" localSheetId="2" hidden="1">1</definedName>
    <definedName name="solver_rel1" localSheetId="0" hidden="1">4</definedName>
    <definedName name="solver_rel1" localSheetId="1" hidden="1">1</definedName>
    <definedName name="solver_rel1" localSheetId="2" hidden="1">1</definedName>
    <definedName name="solver_rel2" localSheetId="0" hidden="1">4</definedName>
    <definedName name="solver_rel2" localSheetId="1" hidden="1">3</definedName>
    <definedName name="solver_rel2" localSheetId="2" hidden="1">4</definedName>
    <definedName name="solver_rel3" localSheetId="0" hidden="1">1</definedName>
    <definedName name="solver_rel3" localSheetId="1" hidden="1">1</definedName>
    <definedName name="solver_rel3" localSheetId="2" hidden="1">1</definedName>
    <definedName name="solver_rel4" localSheetId="0" hidden="1">1</definedName>
    <definedName name="solver_rel4" localSheetId="2" hidden="1">1</definedName>
    <definedName name="solver_rel5" localSheetId="0" hidden="1">1</definedName>
    <definedName name="solver_rel5" localSheetId="2" hidden="1">1</definedName>
    <definedName name="solver_rel6" localSheetId="0" hidden="1">1</definedName>
    <definedName name="solver_rel6" localSheetId="2" hidden="1">1</definedName>
    <definedName name="solver_rhs1" localSheetId="0" hidden="1">"entero"</definedName>
    <definedName name="solver_rhs1" localSheetId="1" hidden="1">1.1*'Example 2'!$G$24</definedName>
    <definedName name="solver_rhs1" localSheetId="2" hidden="1">30</definedName>
    <definedName name="solver_rhs2" localSheetId="0" hidden="1">"entero"</definedName>
    <definedName name="solver_rhs2" localSheetId="1" hidden="1">0.9*'Example 2'!$G$24</definedName>
    <definedName name="solver_rhs2" localSheetId="2" hidden="1">"integer"</definedName>
    <definedName name="solver_rhs3" localSheetId="0" hidden="1">100</definedName>
    <definedName name="solver_rhs3" localSheetId="1" hidden="1">10000</definedName>
    <definedName name="solver_rhs3" localSheetId="2" hidden="1">30</definedName>
    <definedName name="solver_rhs4" localSheetId="0" hidden="1">90</definedName>
    <definedName name="solver_rhs4" localSheetId="2" hidden="1">20</definedName>
    <definedName name="solver_rhs5" localSheetId="0" hidden="1">100</definedName>
    <definedName name="solver_rhs5" localSheetId="2" hidden="1">60</definedName>
    <definedName name="solver_rhs6" localSheetId="0" hidden="1">90</definedName>
    <definedName name="solver_rhs6" localSheetId="2" hidden="1">10000</definedName>
    <definedName name="solver_rlx" localSheetId="0" hidden="1">2</definedName>
    <definedName name="solver_rlx" localSheetId="1" hidden="1">2</definedName>
    <definedName name="solver_rlx" localSheetId="2" hidden="1">2</definedName>
    <definedName name="solver_rsd" localSheetId="0" hidden="1">0</definedName>
    <definedName name="solver_rsd" localSheetId="1" hidden="1">0</definedName>
    <definedName name="solver_rsd" localSheetId="2" hidden="1">0</definedName>
    <definedName name="solver_scl" localSheetId="0" hidden="1">1</definedName>
    <definedName name="solver_scl" localSheetId="1" hidden="1">1</definedName>
    <definedName name="solver_scl" localSheetId="2" hidden="1">1</definedName>
    <definedName name="solver_sho" localSheetId="0" hidden="1">2</definedName>
    <definedName name="solver_sho" localSheetId="1" hidden="1">2</definedName>
    <definedName name="solver_sho" localSheetId="2" hidden="1">2</definedName>
    <definedName name="solver_ssz" localSheetId="0" hidden="1">100</definedName>
    <definedName name="solver_ssz" localSheetId="1" hidden="1">100</definedName>
    <definedName name="solver_ssz" localSheetId="2" hidden="1">100</definedName>
    <definedName name="solver_tim" localSheetId="0" hidden="1">2147483647</definedName>
    <definedName name="solver_tim" localSheetId="1" hidden="1">2147483647</definedName>
    <definedName name="solver_tim" localSheetId="2" hidden="1">2147483647</definedName>
    <definedName name="solver_tol" localSheetId="0" hidden="1">0.01</definedName>
    <definedName name="solver_tol" localSheetId="1" hidden="1">0.01</definedName>
    <definedName name="solver_tol" localSheetId="2" hidden="1">0.01</definedName>
    <definedName name="solver_typ" localSheetId="0" hidden="1">1</definedName>
    <definedName name="solver_typ" localSheetId="1" hidden="1">1</definedName>
    <definedName name="solver_typ" localSheetId="2" hidden="1">1</definedName>
    <definedName name="solver_val" localSheetId="0" hidden="1">0</definedName>
    <definedName name="solver_val" localSheetId="1" hidden="1">0</definedName>
    <definedName name="solver_val" localSheetId="2" hidden="1">0</definedName>
    <definedName name="solver_ver" localSheetId="0" hidden="1">3</definedName>
    <definedName name="solver_ver" localSheetId="1"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 l="1"/>
  <c r="G43" i="6"/>
  <c r="F43" i="6"/>
  <c r="E43" i="6"/>
  <c r="G42" i="6"/>
  <c r="F42" i="6"/>
  <c r="E42" i="6"/>
  <c r="G41" i="6"/>
  <c r="F41" i="6"/>
  <c r="E41" i="6"/>
  <c r="G40" i="6"/>
  <c r="F40" i="6"/>
  <c r="E40" i="6"/>
  <c r="G39" i="6"/>
  <c r="F39" i="6"/>
  <c r="E39" i="6"/>
  <c r="G38" i="6"/>
  <c r="F38" i="6"/>
  <c r="E38" i="6"/>
  <c r="G37" i="6"/>
  <c r="F37" i="6"/>
  <c r="E37" i="6"/>
  <c r="G36" i="6"/>
  <c r="F36" i="6"/>
  <c r="E36" i="6"/>
  <c r="G35" i="6"/>
  <c r="F35" i="6"/>
  <c r="E35" i="6"/>
  <c r="G34" i="6"/>
  <c r="F34" i="6"/>
  <c r="E34" i="6"/>
  <c r="G33" i="6"/>
  <c r="F33" i="6"/>
  <c r="E33" i="6"/>
  <c r="G32" i="6"/>
  <c r="F32" i="6"/>
  <c r="E32" i="6"/>
  <c r="G31" i="6"/>
  <c r="F31" i="6"/>
  <c r="E31" i="6"/>
  <c r="G25" i="6"/>
  <c r="J24" i="6"/>
  <c r="I24" i="6"/>
  <c r="H24" i="6"/>
  <c r="J23" i="6"/>
  <c r="I23" i="6"/>
  <c r="H23" i="6"/>
  <c r="G25" i="1"/>
  <c r="H24" i="1"/>
  <c r="I25" i="6" l="1"/>
  <c r="J25" i="6"/>
  <c r="H25" i="6"/>
  <c r="H25" i="1"/>
</calcChain>
</file>

<file path=xl/sharedStrings.xml><?xml version="1.0" encoding="utf-8"?>
<sst xmlns="http://schemas.openxmlformats.org/spreadsheetml/2006/main" count="40" uniqueCount="29">
  <si>
    <t>Problem statement:</t>
  </si>
  <si>
    <t>Optimizing Product Mix for Maximum Profit</t>
  </si>
  <si>
    <t>Product A</t>
  </si>
  <si>
    <t>Product B</t>
  </si>
  <si>
    <t>Labor hours per unit</t>
  </si>
  <si>
    <t>Units to be produced</t>
  </si>
  <si>
    <t>Revenue</t>
  </si>
  <si>
    <t>Raw material per unit (kg)</t>
  </si>
  <si>
    <t>Profit per unit (USD)</t>
  </si>
  <si>
    <t>Revenue (USD)</t>
  </si>
  <si>
    <t>Variables to be optimized:</t>
  </si>
  <si>
    <t>Scenario</t>
  </si>
  <si>
    <t>Total Hours</t>
  </si>
  <si>
    <t>Total Raw Material</t>
  </si>
  <si>
    <r>
      <t xml:space="preserve">You're the manager of a company that produces two types of products: Product A and Product B and you are planning the monthly earnings budget. Each of your products requires a certain amount of two resources: labor hours and raw materials. However your company only works 100hrs this month and the available raw material is 90kg.
</t>
    </r>
    <r>
      <rPr>
        <b/>
        <sz val="10"/>
        <color theme="1"/>
        <rFont val="Aptos Narrow"/>
        <family val="2"/>
        <scheme val="minor"/>
      </rPr>
      <t>For the</t>
    </r>
    <r>
      <rPr>
        <sz val="10"/>
        <color theme="1"/>
        <rFont val="Aptos Narrow"/>
        <family val="2"/>
        <scheme val="minor"/>
      </rPr>
      <t xml:space="preserve"> </t>
    </r>
    <r>
      <rPr>
        <b/>
        <sz val="10"/>
        <color theme="1"/>
        <rFont val="Aptos Narrow"/>
        <family val="2"/>
        <scheme val="minor"/>
      </rPr>
      <t>product A:</t>
    </r>
    <r>
      <rPr>
        <sz val="10"/>
        <color theme="1"/>
        <rFont val="Aptos Narrow"/>
        <family val="2"/>
        <scheme val="minor"/>
      </rPr>
      <t xml:space="preserve"> 8 labor hours and 2 kg of raw material are needed and the revenue is $40 USD per unit.
</t>
    </r>
    <r>
      <rPr>
        <b/>
        <sz val="10"/>
        <color theme="1"/>
        <rFont val="Aptos Narrow"/>
        <family val="2"/>
        <scheme val="minor"/>
      </rPr>
      <t>For the product B:</t>
    </r>
    <r>
      <rPr>
        <sz val="10"/>
        <color theme="1"/>
        <rFont val="Aptos Narrow"/>
        <family val="2"/>
        <scheme val="minor"/>
      </rPr>
      <t xml:space="preserve"> 1 labor hour and 2 kg of raw material are needed and the revenue is $30 USD per unit.
Your goal is to determine the optimal production mix of Product A and Product B to maximize profit while staying within the resource budget.</t>
    </r>
  </si>
  <si>
    <t>Constraints:</t>
  </si>
  <si>
    <t>We want to maximize our profit, which is the sum of the revenue of product A + revenue of product B.
Product A = A
Product B = B
40*A+30*B = max</t>
  </si>
  <si>
    <t>• A and B must be an integer.
• A &gt;= 0
• B &gt;= 0
• 8*A + 1*B &lt;= 100
• 2*A + 2*B &lt;= 90</t>
  </si>
  <si>
    <t>Optimizing Logistics capacity</t>
  </si>
  <si>
    <r>
      <t xml:space="preserve">A farmer has two types of crops: Crop X and Crop Y. Both crops require water for irrigation, but they have different water requirements and yield different profits per liter of water used. The farmer only has 10,000 L of water available and wants to allocate it between the two crops to maximize the total profit. However due state regulations, the crop X production must be 10% more or less than the crop Y production. 
</t>
    </r>
    <r>
      <rPr>
        <b/>
        <sz val="10"/>
        <color theme="1"/>
        <rFont val="Aptos Narrow"/>
        <family val="2"/>
        <scheme val="minor"/>
      </rPr>
      <t>Crop X:</t>
    </r>
    <r>
      <rPr>
        <sz val="10"/>
        <color theme="1"/>
        <rFont val="Aptos Narrow"/>
        <family val="2"/>
        <scheme val="minor"/>
      </rPr>
      <t xml:space="preserve">
Profit per liter of water: $2.50
Water required per unit yield: 1 liter
</t>
    </r>
    <r>
      <rPr>
        <b/>
        <sz val="10"/>
        <color theme="1"/>
        <rFont val="Aptos Narrow"/>
        <family val="2"/>
        <scheme val="minor"/>
      </rPr>
      <t>Crop Y:</t>
    </r>
    <r>
      <rPr>
        <sz val="10"/>
        <color theme="1"/>
        <rFont val="Aptos Narrow"/>
        <family val="2"/>
        <scheme val="minor"/>
      </rPr>
      <t xml:space="preserve">
Profit per liter of water: $3.00
Water required per unit yield: 1 liter</t>
    </r>
  </si>
  <si>
    <t>Crop X</t>
  </si>
  <si>
    <t>Crop Y</t>
  </si>
  <si>
    <t>Water usage</t>
  </si>
  <si>
    <t>Profit per L (USD)</t>
  </si>
  <si>
    <t>x*1+y*1&lt;10,000
x&lt;1.1*y
x&gt;0.9*y</t>
  </si>
  <si>
    <t>Total water L used</t>
  </si>
  <si>
    <t>Optimizing crop planting</t>
  </si>
  <si>
    <t>A logistics company operates a fleet of three types of delivery trucks: Small, Medium, and Large. Each truck type has different costs, capacities, and fuel efficiencies. The company aims to optimize the fleet composition to maximize delivery efficiency (total capacity) while minimizing operating costs. They have limits on the total number of trucks they can operate due to parking space limits to only 60 trucks and budget for operating costs of $10,000.
Small Truck:
Capacity: 600 kg
Operating cost per day: $85
Fuel efficiency: 15 km/l
Maximum trucks available: 30
Medium Truck:
Capacity: 1300 kg
Operating cost per day: $199
Fuel efficiency: 10 km/l
Maximum trucks available: 30
Large Truck:
Capacity: 2000 kg
Operating cost per day: $301
Fuel efficiency: 5 km/l
Maximum trucks available: 20</t>
  </si>
  <si>
    <t>Crop X = X
Crop Y = Y
Ganancia total por tipo de cosecha:
x*2.5+y*3=max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</si>
</sst>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quot;$&quot;#,##0.00"/>
    <numFmt numFmtId="167" formatCode="_(* #,##0_);_(* \(#,##0\);_(* &quot;-&quot;??_);_(@_)"/>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20"/>
      <color theme="1"/>
      <name val="Aptos Narrow"/>
      <family val="2"/>
      <scheme val="minor"/>
    </font>
    <font>
      <i/>
      <u/>
      <sz val="12"/>
      <color theme="1"/>
      <name val="Aptos Narrow"/>
      <family val="2"/>
      <scheme val="minor"/>
    </font>
    <font>
      <sz val="10"/>
      <color theme="1"/>
      <name val="Aptos Narrow"/>
      <family val="2"/>
      <scheme val="minor"/>
    </font>
    <font>
      <b/>
      <sz val="10"/>
      <color theme="1"/>
      <name val="Aptos Narrow"/>
      <family val="2"/>
      <scheme val="minor"/>
    </font>
    <font>
      <b/>
      <i/>
      <sz val="11"/>
      <color theme="1"/>
      <name val="Aptos Narrow"/>
      <family val="2"/>
      <scheme val="minor"/>
    </font>
    <font>
      <sz val="11"/>
      <color theme="0" tint="-0.249977111117893"/>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40">
    <xf numFmtId="0" fontId="0" fillId="0" borderId="0" xfId="0"/>
    <xf numFmtId="0" fontId="0" fillId="2" borderId="0" xfId="0" applyFill="1"/>
    <xf numFmtId="0" fontId="2" fillId="2" borderId="0" xfId="0" applyFont="1" applyFill="1"/>
    <xf numFmtId="0" fontId="4" fillId="2" borderId="0" xfId="0" applyFont="1" applyFill="1"/>
    <xf numFmtId="0" fontId="0" fillId="2" borderId="0" xfId="0" applyFill="1" applyAlignment="1">
      <alignment horizontal="center"/>
    </xf>
    <xf numFmtId="0" fontId="5" fillId="2" borderId="0" xfId="0" applyFont="1" applyFill="1"/>
    <xf numFmtId="0" fontId="0" fillId="2" borderId="0" xfId="0" applyFill="1" applyAlignment="1">
      <alignment horizontal="left" wrapText="1"/>
    </xf>
    <xf numFmtId="0" fontId="0" fillId="2" borderId="1" xfId="0" applyFill="1" applyBorder="1" applyAlignment="1">
      <alignment horizontal="center"/>
    </xf>
    <xf numFmtId="164" fontId="0" fillId="2" borderId="1" xfId="2" applyFont="1" applyFill="1" applyBorder="1" applyAlignment="1">
      <alignment horizontal="center"/>
    </xf>
    <xf numFmtId="166" fontId="3" fillId="2" borderId="0" xfId="0" applyNumberFormat="1" applyFont="1" applyFill="1" applyAlignment="1">
      <alignment horizontal="center"/>
    </xf>
    <xf numFmtId="0" fontId="2" fillId="2" borderId="0" xfId="0" applyFont="1" applyFill="1" applyAlignment="1">
      <alignment horizontal="center"/>
    </xf>
    <xf numFmtId="0" fontId="6" fillId="2" borderId="0" xfId="0" applyFont="1" applyFill="1" applyAlignment="1">
      <alignment horizontal="left" vertical="top" wrapText="1"/>
    </xf>
    <xf numFmtId="166" fontId="0" fillId="2" borderId="1" xfId="0" applyNumberFormat="1" applyFill="1" applyBorder="1" applyAlignment="1">
      <alignment horizontal="center"/>
    </xf>
    <xf numFmtId="0" fontId="2" fillId="2" borderId="0" xfId="0" applyFont="1" applyFill="1" applyAlignment="1">
      <alignment horizontal="center" wrapText="1"/>
    </xf>
    <xf numFmtId="0" fontId="0" fillId="3" borderId="1" xfId="0" applyFill="1" applyBorder="1" applyAlignment="1">
      <alignment horizontal="center"/>
    </xf>
    <xf numFmtId="0" fontId="8" fillId="2" borderId="0" xfId="0" applyFont="1" applyFill="1" applyAlignment="1">
      <alignment horizontal="center" wrapText="1"/>
    </xf>
    <xf numFmtId="0" fontId="8" fillId="2"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9" fillId="2" borderId="1" xfId="0" applyFont="1" applyFill="1" applyBorder="1" applyAlignment="1">
      <alignment horizontal="center"/>
    </xf>
    <xf numFmtId="0" fontId="2" fillId="5" borderId="1" xfId="0" applyFont="1" applyFill="1" applyBorder="1" applyAlignment="1">
      <alignment horizontal="center" vertical="center" wrapText="1"/>
    </xf>
    <xf numFmtId="167" fontId="2" fillId="2" borderId="0" xfId="1" applyNumberFormat="1" applyFont="1" applyFill="1" applyAlignment="1">
      <alignment horizontal="center"/>
    </xf>
    <xf numFmtId="0" fontId="6" fillId="2" borderId="2" xfId="0" applyFont="1" applyFill="1" applyBorder="1" applyAlignment="1">
      <alignment horizontal="left" wrapText="1"/>
    </xf>
    <xf numFmtId="0" fontId="6" fillId="2" borderId="3" xfId="0" applyFont="1" applyFill="1" applyBorder="1" applyAlignment="1">
      <alignment horizontal="left" wrapText="1"/>
    </xf>
    <xf numFmtId="0" fontId="6" fillId="2" borderId="4" xfId="0" applyFont="1" applyFill="1" applyBorder="1" applyAlignment="1">
      <alignment horizontal="left" wrapText="1"/>
    </xf>
    <xf numFmtId="0" fontId="6" fillId="2" borderId="5" xfId="0" applyFont="1" applyFill="1" applyBorder="1" applyAlignment="1">
      <alignment horizontal="left" wrapText="1"/>
    </xf>
    <xf numFmtId="0" fontId="6" fillId="2" borderId="0" xfId="0" applyFont="1" applyFill="1" applyAlignment="1">
      <alignment horizontal="left" wrapText="1"/>
    </xf>
    <xf numFmtId="0" fontId="6" fillId="2" borderId="6" xfId="0" applyFont="1" applyFill="1" applyBorder="1" applyAlignment="1">
      <alignment horizontal="left" wrapText="1"/>
    </xf>
    <xf numFmtId="0" fontId="6" fillId="2" borderId="7" xfId="0" applyFont="1" applyFill="1" applyBorder="1" applyAlignment="1">
      <alignment horizontal="left" wrapText="1"/>
    </xf>
    <xf numFmtId="0" fontId="6" fillId="2" borderId="8" xfId="0" applyFont="1" applyFill="1" applyBorder="1" applyAlignment="1">
      <alignment horizontal="left" wrapText="1"/>
    </xf>
    <xf numFmtId="0" fontId="6" fillId="2" borderId="9" xfId="0" applyFont="1" applyFill="1" applyBorder="1" applyAlignment="1">
      <alignment horizontal="left" wrapText="1"/>
    </xf>
    <xf numFmtId="0" fontId="6" fillId="2" borderId="1"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0" xfId="0" applyFont="1" applyFill="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'Example 1'!$G$30</c:f>
              <c:strCache>
                <c:ptCount val="1"/>
                <c:pt idx="0">
                  <c:v>Revenue</c:v>
                </c:pt>
              </c:strCache>
            </c:strRef>
          </c:tx>
          <c:spPr>
            <a:ln w="38100" cap="rnd">
              <a:noFill/>
              <a:round/>
            </a:ln>
            <a:effectLst/>
          </c:spPr>
          <c:marker>
            <c:symbol val="circle"/>
            <c:size val="5"/>
            <c:spPr>
              <a:solidFill>
                <a:schemeClr val="accent1"/>
              </a:solidFill>
              <a:ln w="9525">
                <a:solidFill>
                  <a:schemeClr val="accent1"/>
                </a:solidFill>
              </a:ln>
              <a:effectLst/>
            </c:spPr>
          </c:marker>
          <c:yVal>
            <c:numRef>
              <c:f>'Example 1'!$G$31:$G$43</c:f>
              <c:numCache>
                <c:formatCode>"$"#,##0.00</c:formatCode>
                <c:ptCount val="13"/>
                <c:pt idx="0">
                  <c:v>1350</c:v>
                </c:pt>
                <c:pt idx="1">
                  <c:v>1360</c:v>
                </c:pt>
                <c:pt idx="2">
                  <c:v>1370</c:v>
                </c:pt>
                <c:pt idx="3">
                  <c:v>1380</c:v>
                </c:pt>
                <c:pt idx="4">
                  <c:v>1390</c:v>
                </c:pt>
                <c:pt idx="5">
                  <c:v>1400</c:v>
                </c:pt>
                <c:pt idx="6">
                  <c:v>1410</c:v>
                </c:pt>
                <c:pt idx="7">
                  <c:v>1420</c:v>
                </c:pt>
                <c:pt idx="8">
                  <c:v>1400</c:v>
                </c:pt>
                <c:pt idx="9">
                  <c:v>1200</c:v>
                </c:pt>
                <c:pt idx="10">
                  <c:v>1000</c:v>
                </c:pt>
                <c:pt idx="11">
                  <c:v>800</c:v>
                </c:pt>
                <c:pt idx="12">
                  <c:v>600</c:v>
                </c:pt>
              </c:numCache>
            </c:numRef>
          </c:yVal>
          <c:smooth val="0"/>
          <c:extLst>
            <c:ext xmlns:c16="http://schemas.microsoft.com/office/drawing/2014/chart" uri="{C3380CC4-5D6E-409C-BE32-E72D297353CC}">
              <c16:uniqueId val="{00000000-E886-4CA4-8C45-2DB10A624CF1}"/>
            </c:ext>
          </c:extLst>
        </c:ser>
        <c:dLbls>
          <c:showLegendKey val="0"/>
          <c:showVal val="0"/>
          <c:showCatName val="0"/>
          <c:showSerName val="0"/>
          <c:showPercent val="0"/>
          <c:showBubbleSize val="0"/>
        </c:dLbls>
        <c:axId val="670401072"/>
        <c:axId val="675379056"/>
      </c:scatterChart>
      <c:valAx>
        <c:axId val="6704010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Scenario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79056"/>
        <c:crosses val="autoZero"/>
        <c:crossBetween val="midCat"/>
      </c:valAx>
      <c:valAx>
        <c:axId val="675379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010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581025</xdr:colOff>
      <xdr:row>0</xdr:row>
      <xdr:rowOff>85726</xdr:rowOff>
    </xdr:from>
    <xdr:to>
      <xdr:col>9</xdr:col>
      <xdr:colOff>47624</xdr:colOff>
      <xdr:row>3</xdr:row>
      <xdr:rowOff>127376</xdr:rowOff>
    </xdr:to>
    <xdr:pic>
      <xdr:nvPicPr>
        <xdr:cNvPr id="2" name="Picture 1" descr="Coconut Cream vs Coconut Milk: What's the Difference?">
          <a:extLst>
            <a:ext uri="{FF2B5EF4-FFF2-40B4-BE49-F238E27FC236}">
              <a16:creationId xmlns:a16="http://schemas.microsoft.com/office/drawing/2014/main" id="{550B3299-915B-4312-A179-2FFC8D3276C5}"/>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4333" y1="71096" x2="37778" y2="74751"/>
                      <a14:foregroundMark x1="64111" y1="75249" x2="69000" y2="73422"/>
                      <a14:foregroundMark x1="66000" y1="56811" x2="73333" y2="57807"/>
                    </a14:backgroundRemoval>
                  </a14:imgEffect>
                </a14:imgLayer>
              </a14:imgProps>
            </a:ext>
            <a:ext uri="{28A0092B-C50C-407E-A947-70E740481C1C}">
              <a14:useLocalDpi xmlns:a14="http://schemas.microsoft.com/office/drawing/2010/main" val="0"/>
            </a:ext>
          </a:extLst>
        </a:blip>
        <a:srcRect l="13803" t="8713" r="13803" b="8740"/>
        <a:stretch/>
      </xdr:blipFill>
      <xdr:spPr bwMode="auto">
        <a:xfrm>
          <a:off x="5200650" y="85726"/>
          <a:ext cx="1028699" cy="78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152399</xdr:colOff>
      <xdr:row>29</xdr:row>
      <xdr:rowOff>9524</xdr:rowOff>
    </xdr:from>
    <xdr:to>
      <xdr:col>12</xdr:col>
      <xdr:colOff>533400</xdr:colOff>
      <xdr:row>42</xdr:row>
      <xdr:rowOff>180975</xdr:rowOff>
    </xdr:to>
    <xdr:graphicFrame macro="">
      <xdr:nvGraphicFramePr>
        <xdr:cNvPr id="3" name="Chart 2">
          <a:extLst>
            <a:ext uri="{FF2B5EF4-FFF2-40B4-BE49-F238E27FC236}">
              <a16:creationId xmlns:a16="http://schemas.microsoft.com/office/drawing/2014/main" id="{A5A1DFBB-2FEF-4AC1-B825-50288D86F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38101</xdr:colOff>
      <xdr:row>1</xdr:row>
      <xdr:rowOff>9525</xdr:rowOff>
    </xdr:from>
    <xdr:to>
      <xdr:col>7</xdr:col>
      <xdr:colOff>790576</xdr:colOff>
      <xdr:row>3</xdr:row>
      <xdr:rowOff>29692</xdr:rowOff>
    </xdr:to>
    <xdr:pic>
      <xdr:nvPicPr>
        <xdr:cNvPr id="5" name="Picture 4">
          <a:extLst>
            <a:ext uri="{FF2B5EF4-FFF2-40B4-BE49-F238E27FC236}">
              <a16:creationId xmlns:a16="http://schemas.microsoft.com/office/drawing/2014/main" id="{1A783E09-2E7A-717F-FA2F-70A865656964}"/>
            </a:ext>
          </a:extLst>
        </xdr:cNvPr>
        <xdr:cNvPicPr>
          <a:picLocks noChangeAspect="1"/>
        </xdr:cNvPicPr>
      </xdr:nvPicPr>
      <xdr:blipFill>
        <a:blip xmlns:r="http://schemas.openxmlformats.org/officeDocument/2006/relationships" r:embed="rId1"/>
        <a:stretch>
          <a:fillRect/>
        </a:stretch>
      </xdr:blipFill>
      <xdr:spPr>
        <a:xfrm>
          <a:off x="3267076" y="114300"/>
          <a:ext cx="2286000" cy="658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600076</xdr:colOff>
      <xdr:row>0</xdr:row>
      <xdr:rowOff>85726</xdr:rowOff>
    </xdr:from>
    <xdr:to>
      <xdr:col>9</xdr:col>
      <xdr:colOff>752475</xdr:colOff>
      <xdr:row>3</xdr:row>
      <xdr:rowOff>129914</xdr:rowOff>
    </xdr:to>
    <xdr:pic>
      <xdr:nvPicPr>
        <xdr:cNvPr id="4" name="Picture 3">
          <a:extLst>
            <a:ext uri="{FF2B5EF4-FFF2-40B4-BE49-F238E27FC236}">
              <a16:creationId xmlns:a16="http://schemas.microsoft.com/office/drawing/2014/main" id="{41C86F5E-DE8B-3886-4446-152BA6E318B6}"/>
            </a:ext>
          </a:extLst>
        </xdr:cNvPr>
        <xdr:cNvPicPr>
          <a:picLocks noChangeAspect="1"/>
        </xdr:cNvPicPr>
      </xdr:nvPicPr>
      <xdr:blipFill>
        <a:blip xmlns:r="http://schemas.openxmlformats.org/officeDocument/2006/relationships" r:embed="rId1"/>
        <a:stretch>
          <a:fillRect/>
        </a:stretch>
      </xdr:blipFill>
      <xdr:spPr>
        <a:xfrm>
          <a:off x="3686176" y="85726"/>
          <a:ext cx="3248024" cy="78713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F4DA2-18B7-489C-8D33-A5F11F1FA2DF}">
  <dimension ref="B1:Q43"/>
  <sheetViews>
    <sheetView tabSelected="1" topLeftCell="A16" zoomScale="145" zoomScaleNormal="145" workbookViewId="0">
      <selection activeCell="J25" sqref="J25"/>
    </sheetView>
  </sheetViews>
  <sheetFormatPr baseColWidth="10" defaultColWidth="9.109375" defaultRowHeight="14.4" x14ac:dyDescent="0.3"/>
  <cols>
    <col min="1" max="1" width="1.77734375" style="1" customWidth="1"/>
    <col min="2" max="2" width="9.109375" style="1"/>
    <col min="3" max="3" width="11.5546875" style="1" bestFit="1" customWidth="1"/>
    <col min="4" max="4" width="13" style="1" customWidth="1"/>
    <col min="5" max="5" width="10.77734375" style="1" customWidth="1"/>
    <col min="6" max="6" width="11.5546875" style="1" customWidth="1"/>
    <col min="7" max="7" width="11.33203125" style="1" customWidth="1"/>
    <col min="8" max="8" width="11.109375" style="1" customWidth="1"/>
    <col min="9" max="9" width="12.21875" style="1" customWidth="1"/>
    <col min="10" max="10" width="12.77734375" style="1" bestFit="1" customWidth="1"/>
    <col min="11" max="16384" width="9.109375" style="1"/>
  </cols>
  <sheetData>
    <row r="1" spans="2:13" ht="8.25" customHeight="1" x14ac:dyDescent="0.3"/>
    <row r="2" spans="2:13" ht="35.25" customHeight="1" x14ac:dyDescent="0.5">
      <c r="B2" s="3" t="s">
        <v>1</v>
      </c>
    </row>
    <row r="4" spans="2:13" ht="15.6" x14ac:dyDescent="0.3">
      <c r="B4" s="5" t="s">
        <v>0</v>
      </c>
    </row>
    <row r="5" spans="2:13" ht="41.25" customHeight="1" x14ac:dyDescent="0.3">
      <c r="B5" s="21" t="s">
        <v>14</v>
      </c>
      <c r="C5" s="22"/>
      <c r="D5" s="22"/>
      <c r="E5" s="22"/>
      <c r="F5" s="22"/>
      <c r="G5" s="22"/>
      <c r="H5" s="22"/>
      <c r="I5" s="22"/>
      <c r="J5" s="22"/>
      <c r="K5" s="22"/>
      <c r="L5" s="22"/>
      <c r="M5" s="23"/>
    </row>
    <row r="6" spans="2:13" ht="57" customHeight="1" x14ac:dyDescent="0.3">
      <c r="B6" s="24"/>
      <c r="C6" s="25"/>
      <c r="D6" s="25"/>
      <c r="E6" s="25"/>
      <c r="F6" s="25"/>
      <c r="G6" s="25"/>
      <c r="H6" s="25"/>
      <c r="I6" s="25"/>
      <c r="J6" s="25"/>
      <c r="K6" s="25"/>
      <c r="L6" s="25"/>
      <c r="M6" s="26"/>
    </row>
    <row r="7" spans="2:13" x14ac:dyDescent="0.3">
      <c r="B7" s="27"/>
      <c r="C7" s="28"/>
      <c r="D7" s="28"/>
      <c r="E7" s="28"/>
      <c r="F7" s="28"/>
      <c r="G7" s="28"/>
      <c r="H7" s="28"/>
      <c r="I7" s="28"/>
      <c r="J7" s="28"/>
      <c r="K7" s="28"/>
      <c r="L7" s="28"/>
      <c r="M7" s="29"/>
    </row>
    <row r="8" spans="2:13" x14ac:dyDescent="0.3">
      <c r="B8" s="6"/>
      <c r="C8" s="6"/>
      <c r="D8" s="6"/>
      <c r="E8" s="6"/>
      <c r="F8" s="6"/>
      <c r="G8" s="6"/>
      <c r="H8" s="6"/>
      <c r="I8" s="6"/>
      <c r="J8" s="6"/>
      <c r="K8" s="6"/>
      <c r="L8" s="6"/>
      <c r="M8" s="6"/>
    </row>
    <row r="9" spans="2:13" x14ac:dyDescent="0.3">
      <c r="B9" s="6"/>
      <c r="C9" s="6"/>
      <c r="D9" s="6"/>
      <c r="E9" s="6"/>
      <c r="F9" s="6"/>
      <c r="G9" s="6"/>
      <c r="H9" s="6"/>
      <c r="I9" s="6"/>
      <c r="J9" s="6"/>
      <c r="K9" s="6"/>
      <c r="L9" s="6"/>
      <c r="M9" s="6"/>
    </row>
    <row r="10" spans="2:13" ht="15.6" x14ac:dyDescent="0.3">
      <c r="B10" s="5" t="s">
        <v>10</v>
      </c>
      <c r="C10" s="6"/>
      <c r="D10" s="6"/>
      <c r="E10" s="6"/>
      <c r="F10" s="6"/>
      <c r="G10" s="6"/>
      <c r="H10" s="6"/>
      <c r="I10" s="6"/>
      <c r="J10" s="6"/>
      <c r="K10" s="6"/>
      <c r="L10" s="6"/>
      <c r="M10" s="6"/>
    </row>
    <row r="11" spans="2:13" ht="27.75" customHeight="1" x14ac:dyDescent="0.3">
      <c r="B11" s="30" t="s">
        <v>16</v>
      </c>
      <c r="C11" s="30"/>
      <c r="D11" s="30"/>
      <c r="E11" s="30"/>
      <c r="F11" s="30"/>
      <c r="G11" s="30"/>
      <c r="H11" s="30"/>
      <c r="I11" s="30"/>
      <c r="J11" s="30"/>
      <c r="K11" s="30"/>
      <c r="L11" s="30"/>
      <c r="M11" s="30"/>
    </row>
    <row r="12" spans="2:13" ht="20.25" customHeight="1" x14ac:dyDescent="0.3">
      <c r="B12" s="30"/>
      <c r="C12" s="30"/>
      <c r="D12" s="30"/>
      <c r="E12" s="30"/>
      <c r="F12" s="30"/>
      <c r="G12" s="30"/>
      <c r="H12" s="30"/>
      <c r="I12" s="30"/>
      <c r="J12" s="30"/>
      <c r="K12" s="30"/>
      <c r="L12" s="30"/>
      <c r="M12" s="30"/>
    </row>
    <row r="13" spans="2:13" ht="24" customHeight="1" x14ac:dyDescent="0.3">
      <c r="B13" s="30"/>
      <c r="C13" s="30"/>
      <c r="D13" s="30"/>
      <c r="E13" s="30"/>
      <c r="F13" s="30"/>
      <c r="G13" s="30"/>
      <c r="H13" s="30"/>
      <c r="I13" s="30"/>
      <c r="J13" s="30"/>
      <c r="K13" s="30"/>
      <c r="L13" s="30"/>
      <c r="M13" s="30"/>
    </row>
    <row r="14" spans="2:13" x14ac:dyDescent="0.3">
      <c r="B14" s="11"/>
      <c r="C14" s="11"/>
      <c r="D14" s="11"/>
      <c r="E14" s="11"/>
      <c r="F14" s="11"/>
      <c r="G14" s="11"/>
      <c r="H14" s="11"/>
      <c r="I14" s="11"/>
      <c r="J14" s="11"/>
      <c r="K14" s="11"/>
      <c r="L14" s="11"/>
      <c r="M14" s="11"/>
    </row>
    <row r="15" spans="2:13" ht="15.6" x14ac:dyDescent="0.3">
      <c r="B15" s="5" t="s">
        <v>15</v>
      </c>
      <c r="C15" s="11"/>
      <c r="D15" s="11"/>
      <c r="E15" s="11"/>
      <c r="F15" s="11"/>
      <c r="G15" s="11"/>
      <c r="H15" s="11"/>
      <c r="I15" s="11"/>
      <c r="J15" s="11"/>
      <c r="K15" s="11"/>
      <c r="L15" s="11"/>
      <c r="M15" s="11"/>
    </row>
    <row r="16" spans="2:13" ht="28.5" customHeight="1" x14ac:dyDescent="0.3">
      <c r="B16" s="31" t="s">
        <v>17</v>
      </c>
      <c r="C16" s="32"/>
      <c r="D16" s="32"/>
      <c r="E16" s="32"/>
      <c r="F16" s="32"/>
      <c r="G16" s="32"/>
      <c r="H16" s="32"/>
      <c r="I16" s="32"/>
      <c r="J16" s="32"/>
      <c r="K16" s="32"/>
      <c r="L16" s="32"/>
      <c r="M16" s="33"/>
    </row>
    <row r="17" spans="2:17" ht="29.25" customHeight="1" x14ac:dyDescent="0.3">
      <c r="B17" s="34"/>
      <c r="C17" s="35"/>
      <c r="D17" s="35"/>
      <c r="E17" s="35"/>
      <c r="F17" s="35"/>
      <c r="G17" s="35"/>
      <c r="H17" s="35"/>
      <c r="I17" s="35"/>
      <c r="J17" s="35"/>
      <c r="K17" s="35"/>
      <c r="L17" s="35"/>
      <c r="M17" s="36"/>
    </row>
    <row r="18" spans="2:17" ht="18.75" customHeight="1" x14ac:dyDescent="0.3">
      <c r="B18" s="37"/>
      <c r="C18" s="38"/>
      <c r="D18" s="38"/>
      <c r="E18" s="38"/>
      <c r="F18" s="38"/>
      <c r="G18" s="38"/>
      <c r="H18" s="38"/>
      <c r="I18" s="38"/>
      <c r="J18" s="38"/>
      <c r="K18" s="38"/>
      <c r="L18" s="38"/>
      <c r="M18" s="39"/>
    </row>
    <row r="19" spans="2:17" x14ac:dyDescent="0.3">
      <c r="B19" s="11"/>
      <c r="C19" s="11"/>
      <c r="D19" s="11"/>
      <c r="E19" s="11"/>
      <c r="F19" s="11"/>
      <c r="G19" s="11"/>
      <c r="H19" s="11"/>
      <c r="I19" s="11"/>
      <c r="J19" s="11"/>
      <c r="K19" s="11"/>
      <c r="L19" s="11"/>
      <c r="M19" s="11"/>
    </row>
    <row r="20" spans="2:17" x14ac:dyDescent="0.3">
      <c r="Q20"/>
    </row>
    <row r="22" spans="2:17" ht="30.75" customHeight="1" x14ac:dyDescent="0.3">
      <c r="C22" s="13" t="s">
        <v>4</v>
      </c>
      <c r="D22" s="13" t="s">
        <v>7</v>
      </c>
      <c r="E22" s="13" t="s">
        <v>8</v>
      </c>
      <c r="G22" s="15" t="s">
        <v>5</v>
      </c>
      <c r="H22" s="15" t="s">
        <v>12</v>
      </c>
      <c r="I22" s="15" t="s">
        <v>13</v>
      </c>
      <c r="J22" s="16" t="s">
        <v>9</v>
      </c>
    </row>
    <row r="23" spans="2:17" x14ac:dyDescent="0.3">
      <c r="B23" s="1" t="s">
        <v>2</v>
      </c>
      <c r="C23" s="7">
        <v>8</v>
      </c>
      <c r="D23" s="7">
        <v>2</v>
      </c>
      <c r="E23" s="7">
        <v>40</v>
      </c>
      <c r="F23" s="4"/>
      <c r="G23" s="14">
        <v>7</v>
      </c>
      <c r="H23" s="7">
        <f>G23*C23</f>
        <v>56</v>
      </c>
      <c r="I23" s="7">
        <f>G23*D23</f>
        <v>14</v>
      </c>
      <c r="J23" s="8">
        <f>G23*E23</f>
        <v>280</v>
      </c>
    </row>
    <row r="24" spans="2:17" x14ac:dyDescent="0.3">
      <c r="B24" s="1" t="s">
        <v>3</v>
      </c>
      <c r="C24" s="7">
        <v>1</v>
      </c>
      <c r="D24" s="7">
        <v>2</v>
      </c>
      <c r="E24" s="7">
        <v>30</v>
      </c>
      <c r="F24" s="4"/>
      <c r="G24" s="14">
        <v>38</v>
      </c>
      <c r="H24" s="7">
        <f>G24*C24</f>
        <v>38</v>
      </c>
      <c r="I24" s="7">
        <f>G24*D24</f>
        <v>76</v>
      </c>
      <c r="J24" s="8">
        <f>G24*E24</f>
        <v>1140</v>
      </c>
    </row>
    <row r="25" spans="2:17" ht="18" x14ac:dyDescent="0.35">
      <c r="G25" s="10">
        <f>SUM(G23:G24)</f>
        <v>45</v>
      </c>
      <c r="H25" s="10">
        <f t="shared" ref="H25:I25" si="0">SUM(H23:H24)</f>
        <v>94</v>
      </c>
      <c r="I25" s="10">
        <f t="shared" si="0"/>
        <v>90</v>
      </c>
      <c r="J25" s="9">
        <f>SUM(J23:J24)</f>
        <v>1420</v>
      </c>
    </row>
    <row r="30" spans="2:17" ht="31.5" customHeight="1" x14ac:dyDescent="0.3">
      <c r="B30" s="19" t="s">
        <v>11</v>
      </c>
      <c r="C30" s="17" t="s">
        <v>2</v>
      </c>
      <c r="D30" s="17" t="s">
        <v>3</v>
      </c>
      <c r="E30" s="17" t="s">
        <v>12</v>
      </c>
      <c r="F30" s="17" t="s">
        <v>13</v>
      </c>
      <c r="G30" s="17" t="s">
        <v>6</v>
      </c>
    </row>
    <row r="31" spans="2:17" x14ac:dyDescent="0.3">
      <c r="B31" s="18">
        <v>1</v>
      </c>
      <c r="C31" s="7">
        <v>0</v>
      </c>
      <c r="D31" s="7">
        <v>45</v>
      </c>
      <c r="E31" s="7">
        <f>(C31*$C$23)+(D31*$C$24)</f>
        <v>45</v>
      </c>
      <c r="F31" s="7">
        <f>(C31*$D$23)+(D31*$D$24)</f>
        <v>90</v>
      </c>
      <c r="G31" s="12">
        <f>(C31*$E$23)+(D31*$E$24)</f>
        <v>1350</v>
      </c>
    </row>
    <row r="32" spans="2:17" x14ac:dyDescent="0.3">
      <c r="B32" s="18">
        <v>2</v>
      </c>
      <c r="C32" s="7">
        <v>1</v>
      </c>
      <c r="D32" s="7">
        <v>44</v>
      </c>
      <c r="E32" s="7">
        <f t="shared" ref="E32:E43" si="1">(C32*$C$23)+(D32*$C$24)</f>
        <v>52</v>
      </c>
      <c r="F32" s="7">
        <f t="shared" ref="F32:F43" si="2">(C32*$D$23)+(D32*$D$24)</f>
        <v>90</v>
      </c>
      <c r="G32" s="12">
        <f t="shared" ref="G32:G43" si="3">(C32*$E$23)+(D32*$E$24)</f>
        <v>1360</v>
      </c>
    </row>
    <row r="33" spans="2:7" x14ac:dyDescent="0.3">
      <c r="B33" s="18">
        <v>3</v>
      </c>
      <c r="C33" s="7">
        <v>2</v>
      </c>
      <c r="D33" s="7">
        <v>43</v>
      </c>
      <c r="E33" s="7">
        <f t="shared" si="1"/>
        <v>59</v>
      </c>
      <c r="F33" s="7">
        <f t="shared" si="2"/>
        <v>90</v>
      </c>
      <c r="G33" s="12">
        <f t="shared" si="3"/>
        <v>1370</v>
      </c>
    </row>
    <row r="34" spans="2:7" x14ac:dyDescent="0.3">
      <c r="B34" s="18">
        <v>4</v>
      </c>
      <c r="C34" s="7">
        <v>3</v>
      </c>
      <c r="D34" s="7">
        <v>42</v>
      </c>
      <c r="E34" s="7">
        <f t="shared" si="1"/>
        <v>66</v>
      </c>
      <c r="F34" s="7">
        <f t="shared" si="2"/>
        <v>90</v>
      </c>
      <c r="G34" s="12">
        <f t="shared" si="3"/>
        <v>1380</v>
      </c>
    </row>
    <row r="35" spans="2:7" x14ac:dyDescent="0.3">
      <c r="B35" s="18">
        <v>5</v>
      </c>
      <c r="C35" s="7">
        <v>4</v>
      </c>
      <c r="D35" s="7">
        <v>41</v>
      </c>
      <c r="E35" s="7">
        <f t="shared" si="1"/>
        <v>73</v>
      </c>
      <c r="F35" s="7">
        <f t="shared" si="2"/>
        <v>90</v>
      </c>
      <c r="G35" s="12">
        <f t="shared" si="3"/>
        <v>1390</v>
      </c>
    </row>
    <row r="36" spans="2:7" x14ac:dyDescent="0.3">
      <c r="B36" s="18">
        <v>6</v>
      </c>
      <c r="C36" s="7">
        <v>5</v>
      </c>
      <c r="D36" s="7">
        <v>40</v>
      </c>
      <c r="E36" s="7">
        <f t="shared" si="1"/>
        <v>80</v>
      </c>
      <c r="F36" s="7">
        <f t="shared" si="2"/>
        <v>90</v>
      </c>
      <c r="G36" s="12">
        <f t="shared" si="3"/>
        <v>1400</v>
      </c>
    </row>
    <row r="37" spans="2:7" x14ac:dyDescent="0.3">
      <c r="B37" s="18">
        <v>7</v>
      </c>
      <c r="C37" s="7">
        <v>6</v>
      </c>
      <c r="D37" s="7">
        <v>39</v>
      </c>
      <c r="E37" s="7">
        <f t="shared" si="1"/>
        <v>87</v>
      </c>
      <c r="F37" s="7">
        <f t="shared" si="2"/>
        <v>90</v>
      </c>
      <c r="G37" s="12">
        <f t="shared" si="3"/>
        <v>1410</v>
      </c>
    </row>
    <row r="38" spans="2:7" x14ac:dyDescent="0.3">
      <c r="B38" s="18">
        <v>8</v>
      </c>
      <c r="C38" s="7">
        <v>7</v>
      </c>
      <c r="D38" s="7">
        <v>38</v>
      </c>
      <c r="E38" s="7">
        <f t="shared" si="1"/>
        <v>94</v>
      </c>
      <c r="F38" s="7">
        <f t="shared" si="2"/>
        <v>90</v>
      </c>
      <c r="G38" s="12">
        <f t="shared" si="3"/>
        <v>1420</v>
      </c>
    </row>
    <row r="39" spans="2:7" x14ac:dyDescent="0.3">
      <c r="B39" s="18">
        <v>9</v>
      </c>
      <c r="C39" s="7">
        <v>8</v>
      </c>
      <c r="D39" s="7">
        <v>36</v>
      </c>
      <c r="E39" s="7">
        <f t="shared" si="1"/>
        <v>100</v>
      </c>
      <c r="F39" s="7">
        <f t="shared" si="2"/>
        <v>88</v>
      </c>
      <c r="G39" s="12">
        <f t="shared" si="3"/>
        <v>1400</v>
      </c>
    </row>
    <row r="40" spans="2:7" x14ac:dyDescent="0.3">
      <c r="B40" s="18">
        <v>10</v>
      </c>
      <c r="C40" s="7">
        <v>9</v>
      </c>
      <c r="D40" s="7">
        <v>28</v>
      </c>
      <c r="E40" s="7">
        <f t="shared" si="1"/>
        <v>100</v>
      </c>
      <c r="F40" s="7">
        <f t="shared" si="2"/>
        <v>74</v>
      </c>
      <c r="G40" s="12">
        <f t="shared" si="3"/>
        <v>1200</v>
      </c>
    </row>
    <row r="41" spans="2:7" x14ac:dyDescent="0.3">
      <c r="B41" s="18">
        <v>11</v>
      </c>
      <c r="C41" s="7">
        <v>10</v>
      </c>
      <c r="D41" s="7">
        <v>20</v>
      </c>
      <c r="E41" s="7">
        <f t="shared" si="1"/>
        <v>100</v>
      </c>
      <c r="F41" s="7">
        <f t="shared" si="2"/>
        <v>60</v>
      </c>
      <c r="G41" s="12">
        <f t="shared" si="3"/>
        <v>1000</v>
      </c>
    </row>
    <row r="42" spans="2:7" x14ac:dyDescent="0.3">
      <c r="B42" s="18">
        <v>12</v>
      </c>
      <c r="C42" s="7">
        <v>11</v>
      </c>
      <c r="D42" s="7">
        <v>12</v>
      </c>
      <c r="E42" s="7">
        <f t="shared" si="1"/>
        <v>100</v>
      </c>
      <c r="F42" s="7">
        <f t="shared" si="2"/>
        <v>46</v>
      </c>
      <c r="G42" s="12">
        <f t="shared" si="3"/>
        <v>800</v>
      </c>
    </row>
    <row r="43" spans="2:7" x14ac:dyDescent="0.3">
      <c r="B43" s="18">
        <v>13</v>
      </c>
      <c r="C43" s="7">
        <v>12</v>
      </c>
      <c r="D43" s="7">
        <v>4</v>
      </c>
      <c r="E43" s="7">
        <f t="shared" si="1"/>
        <v>100</v>
      </c>
      <c r="F43" s="7">
        <f t="shared" si="2"/>
        <v>32</v>
      </c>
      <c r="G43" s="12">
        <f t="shared" si="3"/>
        <v>600</v>
      </c>
    </row>
  </sheetData>
  <mergeCells count="3">
    <mergeCell ref="B5:M7"/>
    <mergeCell ref="B11:M13"/>
    <mergeCell ref="B16:M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C1A9-65E4-4726-B9FB-0ABB04E28D21}">
  <dimension ref="B1:Q25"/>
  <sheetViews>
    <sheetView zoomScale="160" workbookViewId="0">
      <selection activeCell="H25" sqref="H25"/>
    </sheetView>
  </sheetViews>
  <sheetFormatPr baseColWidth="10" defaultColWidth="9.109375" defaultRowHeight="14.4" x14ac:dyDescent="0.3"/>
  <cols>
    <col min="1" max="1" width="1.77734375" style="1" customWidth="1"/>
    <col min="2" max="2" width="11.21875" style="1" customWidth="1"/>
    <col min="3" max="3" width="11.5546875" style="1" bestFit="1" customWidth="1"/>
    <col min="4" max="4" width="13" style="1" customWidth="1"/>
    <col min="5" max="5" width="10.77734375" style="1" customWidth="1"/>
    <col min="6" max="6" width="11.5546875" style="1" customWidth="1"/>
    <col min="7" max="7" width="11.33203125" style="1" customWidth="1"/>
    <col min="8" max="8" width="14.77734375" style="1" customWidth="1"/>
    <col min="9" max="9" width="12.21875" style="1" customWidth="1"/>
    <col min="10" max="10" width="12.77734375" style="1" bestFit="1" customWidth="1"/>
    <col min="11" max="16384" width="9.109375" style="1"/>
  </cols>
  <sheetData>
    <row r="1" spans="2:13" ht="8.25" customHeight="1" x14ac:dyDescent="0.3"/>
    <row r="2" spans="2:13" ht="35.25" customHeight="1" x14ac:dyDescent="0.5">
      <c r="B2" s="3" t="s">
        <v>26</v>
      </c>
    </row>
    <row r="4" spans="2:13" ht="15.6" x14ac:dyDescent="0.3">
      <c r="B4" s="5" t="s">
        <v>0</v>
      </c>
    </row>
    <row r="5" spans="2:13" ht="49.5" customHeight="1" x14ac:dyDescent="0.3">
      <c r="B5" s="31" t="s">
        <v>19</v>
      </c>
      <c r="C5" s="32"/>
      <c r="D5" s="32"/>
      <c r="E5" s="32"/>
      <c r="F5" s="32"/>
      <c r="G5" s="32"/>
      <c r="H5" s="32"/>
      <c r="I5" s="32"/>
      <c r="J5" s="32"/>
      <c r="K5" s="32"/>
      <c r="L5" s="32"/>
      <c r="M5" s="33"/>
    </row>
    <row r="6" spans="2:13" ht="57" customHeight="1" x14ac:dyDescent="0.3">
      <c r="B6" s="34"/>
      <c r="C6" s="35"/>
      <c r="D6" s="35"/>
      <c r="E6" s="35"/>
      <c r="F6" s="35"/>
      <c r="G6" s="35"/>
      <c r="H6" s="35"/>
      <c r="I6" s="35"/>
      <c r="J6" s="35"/>
      <c r="K6" s="35"/>
      <c r="L6" s="35"/>
      <c r="M6" s="36"/>
    </row>
    <row r="7" spans="2:13" ht="48" customHeight="1" x14ac:dyDescent="0.3">
      <c r="B7" s="37"/>
      <c r="C7" s="38"/>
      <c r="D7" s="38"/>
      <c r="E7" s="38"/>
      <c r="F7" s="38"/>
      <c r="G7" s="38"/>
      <c r="H7" s="38"/>
      <c r="I7" s="38"/>
      <c r="J7" s="38"/>
      <c r="K7" s="38"/>
      <c r="L7" s="38"/>
      <c r="M7" s="39"/>
    </row>
    <row r="8" spans="2:13" x14ac:dyDescent="0.3">
      <c r="B8" s="6"/>
      <c r="C8" s="6"/>
      <c r="D8" s="6"/>
      <c r="E8" s="6"/>
      <c r="F8" s="6"/>
      <c r="G8" s="6"/>
      <c r="H8" s="6"/>
      <c r="I8" s="6"/>
      <c r="J8" s="6"/>
      <c r="K8" s="6"/>
      <c r="L8" s="6"/>
      <c r="M8" s="6"/>
    </row>
    <row r="9" spans="2:13" x14ac:dyDescent="0.3">
      <c r="B9" s="6"/>
      <c r="C9" s="6"/>
      <c r="D9" s="6"/>
      <c r="E9" s="6"/>
      <c r="F9" s="6"/>
      <c r="G9" s="6"/>
      <c r="H9" s="6"/>
      <c r="I9" s="6"/>
      <c r="J9" s="6"/>
      <c r="K9" s="6"/>
      <c r="L9" s="6"/>
      <c r="M9" s="6"/>
    </row>
    <row r="10" spans="2:13" ht="15.6" x14ac:dyDescent="0.3">
      <c r="B10" s="5" t="s">
        <v>10</v>
      </c>
      <c r="C10" s="6"/>
      <c r="D10" s="6"/>
      <c r="E10" s="6"/>
      <c r="F10" s="6"/>
      <c r="G10" s="6"/>
      <c r="H10" s="6"/>
      <c r="I10" s="6"/>
      <c r="J10" s="6"/>
      <c r="K10" s="6"/>
      <c r="L10" s="6"/>
      <c r="M10" s="6"/>
    </row>
    <row r="11" spans="2:13" ht="27.75" customHeight="1" x14ac:dyDescent="0.3">
      <c r="B11" s="30" t="s">
        <v>28</v>
      </c>
      <c r="C11" s="30"/>
      <c r="D11" s="30"/>
      <c r="E11" s="30"/>
      <c r="F11" s="30"/>
      <c r="G11" s="30"/>
      <c r="H11" s="30"/>
      <c r="I11" s="30"/>
      <c r="J11" s="30"/>
      <c r="K11" s="30"/>
      <c r="L11" s="30"/>
      <c r="M11" s="30"/>
    </row>
    <row r="12" spans="2:13" ht="20.25" customHeight="1" x14ac:dyDescent="0.3">
      <c r="B12" s="30"/>
      <c r="C12" s="30"/>
      <c r="D12" s="30"/>
      <c r="E12" s="30"/>
      <c r="F12" s="30"/>
      <c r="G12" s="30"/>
      <c r="H12" s="30"/>
      <c r="I12" s="30"/>
      <c r="J12" s="30"/>
      <c r="K12" s="30"/>
      <c r="L12" s="30"/>
      <c r="M12" s="30"/>
    </row>
    <row r="13" spans="2:13" ht="24" customHeight="1" x14ac:dyDescent="0.3">
      <c r="B13" s="30"/>
      <c r="C13" s="30"/>
      <c r="D13" s="30"/>
      <c r="E13" s="30"/>
      <c r="F13" s="30"/>
      <c r="G13" s="30"/>
      <c r="H13" s="30"/>
      <c r="I13" s="30"/>
      <c r="J13" s="30"/>
      <c r="K13" s="30"/>
      <c r="L13" s="30"/>
      <c r="M13" s="30"/>
    </row>
    <row r="14" spans="2:13" x14ac:dyDescent="0.3">
      <c r="B14" s="11"/>
      <c r="C14" s="11"/>
      <c r="D14" s="11"/>
      <c r="E14" s="11"/>
      <c r="F14" s="11"/>
      <c r="G14" s="11"/>
      <c r="H14" s="11"/>
      <c r="I14" s="11"/>
      <c r="J14" s="11"/>
      <c r="K14" s="11"/>
      <c r="L14" s="11"/>
      <c r="M14" s="11"/>
    </row>
    <row r="15" spans="2:13" ht="15.6" x14ac:dyDescent="0.3">
      <c r="B15" s="5" t="s">
        <v>15</v>
      </c>
      <c r="C15" s="11"/>
      <c r="D15" s="11"/>
      <c r="E15" s="11"/>
      <c r="F15" s="11"/>
      <c r="G15" s="11"/>
      <c r="H15" s="11"/>
      <c r="I15" s="11"/>
      <c r="J15" s="11"/>
      <c r="K15" s="11"/>
      <c r="L15" s="11"/>
      <c r="M15" s="11"/>
    </row>
    <row r="16" spans="2:13" ht="28.5" customHeight="1" x14ac:dyDescent="0.3">
      <c r="B16" s="31" t="s">
        <v>24</v>
      </c>
      <c r="C16" s="32"/>
      <c r="D16" s="32"/>
      <c r="E16" s="32"/>
      <c r="F16" s="32"/>
      <c r="G16" s="32"/>
      <c r="H16" s="32"/>
      <c r="I16" s="32"/>
      <c r="J16" s="32"/>
      <c r="K16" s="32"/>
      <c r="L16" s="32"/>
      <c r="M16" s="33"/>
    </row>
    <row r="17" spans="2:17" ht="29.25" customHeight="1" x14ac:dyDescent="0.3">
      <c r="B17" s="34"/>
      <c r="C17" s="35"/>
      <c r="D17" s="35"/>
      <c r="E17" s="35"/>
      <c r="F17" s="35"/>
      <c r="G17" s="35"/>
      <c r="H17" s="35"/>
      <c r="I17" s="35"/>
      <c r="J17" s="35"/>
      <c r="K17" s="35"/>
      <c r="L17" s="35"/>
      <c r="M17" s="36"/>
    </row>
    <row r="18" spans="2:17" ht="18.75" customHeight="1" x14ac:dyDescent="0.3">
      <c r="B18" s="37"/>
      <c r="C18" s="38"/>
      <c r="D18" s="38"/>
      <c r="E18" s="38"/>
      <c r="F18" s="38"/>
      <c r="G18" s="38"/>
      <c r="H18" s="38"/>
      <c r="I18" s="38"/>
      <c r="J18" s="38"/>
      <c r="K18" s="38"/>
      <c r="L18" s="38"/>
      <c r="M18" s="39"/>
    </row>
    <row r="19" spans="2:17" x14ac:dyDescent="0.3">
      <c r="B19" s="11"/>
      <c r="C19" s="11"/>
      <c r="D19" s="11"/>
      <c r="E19" s="11"/>
      <c r="F19" s="11"/>
      <c r="G19" s="11"/>
      <c r="H19" s="11"/>
      <c r="I19" s="11"/>
      <c r="J19" s="11"/>
      <c r="K19" s="11"/>
      <c r="L19" s="11"/>
      <c r="M19" s="11"/>
    </row>
    <row r="20" spans="2:17" x14ac:dyDescent="0.3">
      <c r="Q20"/>
    </row>
    <row r="22" spans="2:17" ht="30.75" customHeight="1" x14ac:dyDescent="0.3">
      <c r="C22" s="13" t="s">
        <v>22</v>
      </c>
      <c r="D22" s="13" t="s">
        <v>23</v>
      </c>
      <c r="G22" s="15" t="s">
        <v>25</v>
      </c>
      <c r="H22" s="16" t="s">
        <v>9</v>
      </c>
    </row>
    <row r="23" spans="2:17" x14ac:dyDescent="0.3">
      <c r="B23" s="1" t="s">
        <v>20</v>
      </c>
      <c r="C23" s="7">
        <v>1</v>
      </c>
      <c r="D23" s="7">
        <v>2.5</v>
      </c>
      <c r="F23" s="4"/>
      <c r="G23" s="14">
        <v>4736.8421052631584</v>
      </c>
      <c r="H23" s="8">
        <f>G23*D23</f>
        <v>11842.105263157897</v>
      </c>
    </row>
    <row r="24" spans="2:17" x14ac:dyDescent="0.3">
      <c r="B24" s="1" t="s">
        <v>21</v>
      </c>
      <c r="C24" s="7">
        <v>1</v>
      </c>
      <c r="D24" s="7">
        <v>3</v>
      </c>
      <c r="F24" s="4"/>
      <c r="G24" s="14">
        <v>5263.1578947368425</v>
      </c>
      <c r="H24" s="8">
        <f>G24*D24</f>
        <v>15789.473684210527</v>
      </c>
    </row>
    <row r="25" spans="2:17" ht="18" x14ac:dyDescent="0.35">
      <c r="G25" s="20">
        <f>SUM(G23:G24)</f>
        <v>10000</v>
      </c>
      <c r="H25" s="9">
        <f>SUM(H23:H24)</f>
        <v>27631.578947368424</v>
      </c>
    </row>
  </sheetData>
  <mergeCells count="3">
    <mergeCell ref="B5:M7"/>
    <mergeCell ref="B11:M13"/>
    <mergeCell ref="B16:M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CCB6-153B-4E91-ABEB-209BBFAE8046}">
  <dimension ref="B1:Q25"/>
  <sheetViews>
    <sheetView workbookViewId="0">
      <selection activeCell="B5" sqref="B5:M7"/>
    </sheetView>
  </sheetViews>
  <sheetFormatPr baseColWidth="10" defaultColWidth="9.109375" defaultRowHeight="14.4" x14ac:dyDescent="0.3"/>
  <cols>
    <col min="1" max="1" width="1.77734375" style="1" customWidth="1"/>
    <col min="2" max="2" width="9.109375" style="1"/>
    <col min="3" max="3" width="11.5546875" style="1" bestFit="1" customWidth="1"/>
    <col min="4" max="4" width="13" style="1" customWidth="1"/>
    <col min="5" max="5" width="10.77734375" style="1" customWidth="1"/>
    <col min="6" max="6" width="11.5546875" style="1" customWidth="1"/>
    <col min="7" max="7" width="11.33203125" style="1" customWidth="1"/>
    <col min="8" max="8" width="11.109375" style="1" customWidth="1"/>
    <col min="9" max="9" width="12.21875" style="1" customWidth="1"/>
    <col min="10" max="10" width="12.77734375" style="1" bestFit="1" customWidth="1"/>
    <col min="11" max="16384" width="9.109375" style="1"/>
  </cols>
  <sheetData>
    <row r="1" spans="2:13" ht="8.25" customHeight="1" x14ac:dyDescent="0.3"/>
    <row r="2" spans="2:13" ht="35.25" customHeight="1" x14ac:dyDescent="0.5">
      <c r="B2" s="3" t="s">
        <v>18</v>
      </c>
    </row>
    <row r="4" spans="2:13" ht="15.6" x14ac:dyDescent="0.3">
      <c r="B4" s="5" t="s">
        <v>0</v>
      </c>
    </row>
    <row r="5" spans="2:13" ht="150" customHeight="1" x14ac:dyDescent="0.3">
      <c r="B5" s="31" t="s">
        <v>27</v>
      </c>
      <c r="C5" s="32"/>
      <c r="D5" s="32"/>
      <c r="E5" s="32"/>
      <c r="F5" s="32"/>
      <c r="G5" s="32"/>
      <c r="H5" s="32"/>
      <c r="I5" s="32"/>
      <c r="J5" s="32"/>
      <c r="K5" s="32"/>
      <c r="L5" s="32"/>
      <c r="M5" s="33"/>
    </row>
    <row r="6" spans="2:13" ht="133.5" customHeight="1" x14ac:dyDescent="0.3">
      <c r="B6" s="34"/>
      <c r="C6" s="35"/>
      <c r="D6" s="35"/>
      <c r="E6" s="35"/>
      <c r="F6" s="35"/>
      <c r="G6" s="35"/>
      <c r="H6" s="35"/>
      <c r="I6" s="35"/>
      <c r="J6" s="35"/>
      <c r="K6" s="35"/>
      <c r="L6" s="35"/>
      <c r="M6" s="36"/>
    </row>
    <row r="7" spans="2:13" x14ac:dyDescent="0.3">
      <c r="B7" s="37"/>
      <c r="C7" s="38"/>
      <c r="D7" s="38"/>
      <c r="E7" s="38"/>
      <c r="F7" s="38"/>
      <c r="G7" s="38"/>
      <c r="H7" s="38"/>
      <c r="I7" s="38"/>
      <c r="J7" s="38"/>
      <c r="K7" s="38"/>
      <c r="L7" s="38"/>
      <c r="M7" s="39"/>
    </row>
    <row r="8" spans="2:13" x14ac:dyDescent="0.3">
      <c r="B8" s="6"/>
      <c r="C8" s="6"/>
      <c r="D8" s="6"/>
      <c r="E8" s="6"/>
      <c r="F8" s="6"/>
      <c r="G8" s="6"/>
      <c r="H8" s="6"/>
      <c r="I8" s="6"/>
      <c r="J8" s="6"/>
      <c r="K8" s="6"/>
      <c r="L8" s="6"/>
      <c r="M8" s="6"/>
    </row>
    <row r="9" spans="2:13" x14ac:dyDescent="0.3">
      <c r="B9" s="6"/>
      <c r="C9" s="6"/>
      <c r="D9" s="6"/>
      <c r="E9" s="6"/>
      <c r="F9" s="6"/>
      <c r="G9" s="6"/>
      <c r="H9" s="6"/>
      <c r="I9" s="6"/>
      <c r="J9" s="6"/>
      <c r="K9" s="6"/>
      <c r="L9" s="6"/>
      <c r="M9" s="6"/>
    </row>
    <row r="10" spans="2:13" ht="15.6" x14ac:dyDescent="0.3">
      <c r="B10" s="5" t="s">
        <v>10</v>
      </c>
      <c r="C10" s="6"/>
      <c r="D10" s="6"/>
      <c r="E10" s="6"/>
      <c r="F10" s="6"/>
      <c r="G10" s="6"/>
      <c r="H10" s="6"/>
      <c r="I10" s="6"/>
      <c r="J10" s="6"/>
      <c r="K10" s="6"/>
      <c r="L10" s="6"/>
      <c r="M10" s="6"/>
    </row>
    <row r="11" spans="2:13" ht="27.75" customHeight="1" x14ac:dyDescent="0.3">
      <c r="B11" s="30"/>
      <c r="C11" s="30"/>
      <c r="D11" s="30"/>
      <c r="E11" s="30"/>
      <c r="F11" s="30"/>
      <c r="G11" s="30"/>
      <c r="H11" s="30"/>
      <c r="I11" s="30"/>
      <c r="J11" s="30"/>
      <c r="K11" s="30"/>
      <c r="L11" s="30"/>
      <c r="M11" s="30"/>
    </row>
    <row r="12" spans="2:13" ht="20.25" customHeight="1" x14ac:dyDescent="0.3">
      <c r="B12" s="30"/>
      <c r="C12" s="30"/>
      <c r="D12" s="30"/>
      <c r="E12" s="30"/>
      <c r="F12" s="30"/>
      <c r="G12" s="30"/>
      <c r="H12" s="30"/>
      <c r="I12" s="30"/>
      <c r="J12" s="30"/>
      <c r="K12" s="30"/>
      <c r="L12" s="30"/>
      <c r="M12" s="30"/>
    </row>
    <row r="13" spans="2:13" ht="24" customHeight="1" x14ac:dyDescent="0.3">
      <c r="B13" s="30"/>
      <c r="C13" s="30"/>
      <c r="D13" s="30"/>
      <c r="E13" s="30"/>
      <c r="F13" s="30"/>
      <c r="G13" s="30"/>
      <c r="H13" s="30"/>
      <c r="I13" s="30"/>
      <c r="J13" s="30"/>
      <c r="K13" s="30"/>
      <c r="L13" s="30"/>
      <c r="M13" s="30"/>
    </row>
    <row r="14" spans="2:13" x14ac:dyDescent="0.3">
      <c r="B14" s="11"/>
      <c r="C14" s="11"/>
      <c r="D14" s="11"/>
      <c r="E14" s="11"/>
      <c r="F14" s="11"/>
      <c r="G14" s="11"/>
      <c r="H14" s="11"/>
      <c r="I14" s="11"/>
      <c r="J14" s="11"/>
      <c r="K14" s="11"/>
      <c r="L14" s="11"/>
      <c r="M14" s="11"/>
    </row>
    <row r="15" spans="2:13" ht="15.6" x14ac:dyDescent="0.3">
      <c r="B15" s="5" t="s">
        <v>15</v>
      </c>
      <c r="C15" s="11"/>
      <c r="D15" s="11"/>
      <c r="E15" s="11"/>
      <c r="F15" s="11"/>
      <c r="G15" s="11"/>
      <c r="H15" s="11"/>
      <c r="I15" s="11"/>
      <c r="J15" s="11"/>
      <c r="K15" s="11"/>
      <c r="L15" s="11"/>
      <c r="M15" s="11"/>
    </row>
    <row r="16" spans="2:13" ht="28.5" customHeight="1" x14ac:dyDescent="0.3">
      <c r="B16" s="31"/>
      <c r="C16" s="32"/>
      <c r="D16" s="32"/>
      <c r="E16" s="32"/>
      <c r="F16" s="32"/>
      <c r="G16" s="32"/>
      <c r="H16" s="32"/>
      <c r="I16" s="32"/>
      <c r="J16" s="32"/>
      <c r="K16" s="32"/>
      <c r="L16" s="32"/>
      <c r="M16" s="33"/>
    </row>
    <row r="17" spans="2:17" ht="29.25" customHeight="1" x14ac:dyDescent="0.3">
      <c r="B17" s="34"/>
      <c r="C17" s="35"/>
      <c r="D17" s="35"/>
      <c r="E17" s="35"/>
      <c r="F17" s="35"/>
      <c r="G17" s="35"/>
      <c r="H17" s="35"/>
      <c r="I17" s="35"/>
      <c r="J17" s="35"/>
      <c r="K17" s="35"/>
      <c r="L17" s="35"/>
      <c r="M17" s="36"/>
    </row>
    <row r="18" spans="2:17" ht="18.75" customHeight="1" x14ac:dyDescent="0.3">
      <c r="B18" s="37"/>
      <c r="C18" s="38"/>
      <c r="D18" s="38"/>
      <c r="E18" s="38"/>
      <c r="F18" s="38"/>
      <c r="G18" s="38"/>
      <c r="H18" s="38"/>
      <c r="I18" s="38"/>
      <c r="J18" s="38"/>
      <c r="K18" s="38"/>
      <c r="L18" s="38"/>
      <c r="M18" s="39"/>
    </row>
    <row r="19" spans="2:17" x14ac:dyDescent="0.3">
      <c r="B19" s="11"/>
      <c r="C19" s="11"/>
      <c r="D19" s="11"/>
      <c r="E19" s="11"/>
      <c r="F19" s="11"/>
      <c r="G19" s="11"/>
      <c r="H19" s="11"/>
      <c r="I19" s="11"/>
      <c r="J19" s="11"/>
      <c r="K19" s="11"/>
      <c r="L19" s="11"/>
      <c r="M19" s="11"/>
    </row>
    <row r="20" spans="2:17" x14ac:dyDescent="0.3">
      <c r="Q20"/>
    </row>
    <row r="25" spans="2:17" x14ac:dyDescent="0.3">
      <c r="G25" s="2"/>
      <c r="H25" s="2"/>
      <c r="I25" s="2"/>
    </row>
  </sheetData>
  <mergeCells count="3">
    <mergeCell ref="B5:M7"/>
    <mergeCell ref="B11:M13"/>
    <mergeCell ref="B16:M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Example 1</vt:lpstr>
      <vt:lpstr>Example 2</vt:lpstr>
      <vt:lpstr>Example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Mtz</dc:creator>
  <cp:lastModifiedBy>Remi Heredia</cp:lastModifiedBy>
  <dcterms:created xsi:type="dcterms:W3CDTF">2025-01-18T23:28:31Z</dcterms:created>
  <dcterms:modified xsi:type="dcterms:W3CDTF">2026-08-25T01:04:21Z</dcterms:modified>
</cp:coreProperties>
</file>
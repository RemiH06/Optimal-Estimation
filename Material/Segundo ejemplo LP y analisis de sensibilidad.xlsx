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\OneDrive\Escritorio\ITESO\6to Semestre\EO\"/>
    </mc:Choice>
  </mc:AlternateContent>
  <xr:revisionPtr revIDLastSave="0" documentId="13_ncr:1_{2729B101-34F2-4D5B-B54F-103BF3FE5BDA}" xr6:coauthVersionLast="47" xr6:coauthVersionMax="47" xr10:uidLastSave="{00000000-0000-0000-0000-000000000000}"/>
  <bookViews>
    <workbookView xWindow="-108" yWindow="-108" windowWidth="23256" windowHeight="12456" firstSheet="3" activeTab="4" xr2:uid="{0FBC1D8A-9E16-4B00-8D9D-3A31A82A4B7A}"/>
  </bookViews>
  <sheets>
    <sheet name="Answer Report" sheetId="8" r:id="rId1"/>
    <sheet name="Sensitivity Report" sheetId="10" r:id="rId2"/>
    <sheet name="Spider Plots" sheetId="11" r:id="rId3"/>
    <sheet name="Informe de respuestas 1" sheetId="12" r:id="rId4"/>
    <sheet name="Informe de sensibilidad 1" sheetId="13" r:id="rId5"/>
    <sheet name="Problem 1" sheetId="1" r:id="rId6"/>
  </sheets>
  <definedNames>
    <definedName name="solver_adj" localSheetId="5" hidden="1">'Problem 1'!$H$22:$H$23</definedName>
    <definedName name="solver_adj" localSheetId="2" hidden="1">'Spider Plots'!$B$17:$C$17</definedName>
    <definedName name="solver_cvg" localSheetId="5" hidden="1">0.0001</definedName>
    <definedName name="solver_cvg" localSheetId="2" hidden="1">0.0001</definedName>
    <definedName name="solver_drv" localSheetId="5" hidden="1">1</definedName>
    <definedName name="solver_drv" localSheetId="2" hidden="1">1</definedName>
    <definedName name="solver_eng" localSheetId="5" hidden="1">2</definedName>
    <definedName name="solver_eng" localSheetId="2" hidden="1">2</definedName>
    <definedName name="solver_est" localSheetId="5" hidden="1">1</definedName>
    <definedName name="solver_est" localSheetId="2" hidden="1">1</definedName>
    <definedName name="solver_itr" localSheetId="5" hidden="1">2147483647</definedName>
    <definedName name="solver_itr" localSheetId="2" hidden="1">2147483647</definedName>
    <definedName name="solver_lhs1" localSheetId="5" hidden="1">'Problem 1'!$H$22</definedName>
    <definedName name="solver_lhs1" localSheetId="2" hidden="1">'Spider Plots'!$F$17</definedName>
    <definedName name="solver_lhs2" localSheetId="5" hidden="1">'Problem 1'!$H$22:$H$23</definedName>
    <definedName name="solver_lhs2" localSheetId="2" hidden="1">'Spider Plots'!$J$17</definedName>
    <definedName name="solver_lhs3" localSheetId="5" hidden="1">'Problem 1'!$H$23</definedName>
    <definedName name="solver_lhs3" localSheetId="2" hidden="1">'Spider Plots'!$N$17</definedName>
    <definedName name="solver_lhs4" localSheetId="5" hidden="1">'Problem 1'!$I$24</definedName>
    <definedName name="solver_lhs5" localSheetId="5" hidden="1">'Problem 1'!$J$24</definedName>
    <definedName name="solver_lhs6" localSheetId="5" hidden="1">'Problem 1'!$K$24</definedName>
    <definedName name="solver_mip" localSheetId="5" hidden="1">2147483647</definedName>
    <definedName name="solver_mip" localSheetId="2" hidden="1">2147483647</definedName>
    <definedName name="solver_mni" localSheetId="5" hidden="1">30</definedName>
    <definedName name="solver_mni" localSheetId="2" hidden="1">30</definedName>
    <definedName name="solver_mrt" localSheetId="5" hidden="1">0.075</definedName>
    <definedName name="solver_mrt" localSheetId="2" hidden="1">0.075</definedName>
    <definedName name="solver_msl" localSheetId="5" hidden="1">2</definedName>
    <definedName name="solver_msl" localSheetId="2" hidden="1">2</definedName>
    <definedName name="solver_neg" localSheetId="5" hidden="1">2</definedName>
    <definedName name="solver_neg" localSheetId="2" hidden="1">1</definedName>
    <definedName name="solver_nod" localSheetId="5" hidden="1">2147483647</definedName>
    <definedName name="solver_nod" localSheetId="2" hidden="1">2147483647</definedName>
    <definedName name="solver_num" localSheetId="5" hidden="1">6</definedName>
    <definedName name="solver_num" localSheetId="2" hidden="1">3</definedName>
    <definedName name="solver_nwt" localSheetId="5" hidden="1">1</definedName>
    <definedName name="solver_nwt" localSheetId="2" hidden="1">1</definedName>
    <definedName name="solver_opt" localSheetId="5" hidden="1">'Problem 1'!$L$24</definedName>
    <definedName name="solver_opt" localSheetId="2" hidden="1">'Spider Plots'!$R$17</definedName>
    <definedName name="solver_pre" localSheetId="5" hidden="1">0.000001</definedName>
    <definedName name="solver_pre" localSheetId="2" hidden="1">0.000001</definedName>
    <definedName name="solver_rbv" localSheetId="5" hidden="1">1</definedName>
    <definedName name="solver_rbv" localSheetId="2" hidden="1">1</definedName>
    <definedName name="solver_rel1" localSheetId="5" hidden="1">3</definedName>
    <definedName name="solver_rel1" localSheetId="2" hidden="1">1</definedName>
    <definedName name="solver_rel2" localSheetId="5" hidden="1">4</definedName>
    <definedName name="solver_rel2" localSheetId="2" hidden="1">1</definedName>
    <definedName name="solver_rel3" localSheetId="5" hidden="1">3</definedName>
    <definedName name="solver_rel3" localSheetId="2" hidden="1">1</definedName>
    <definedName name="solver_rel4" localSheetId="5" hidden="1">1</definedName>
    <definedName name="solver_rel5" localSheetId="5" hidden="1">1</definedName>
    <definedName name="solver_rel6" localSheetId="5" hidden="1">1</definedName>
    <definedName name="solver_rhs1" localSheetId="5" hidden="1">0</definedName>
    <definedName name="solver_rhs1" localSheetId="2" hidden="1">'Spider Plots'!$G$17</definedName>
    <definedName name="solver_rhs2" localSheetId="5" hidden="1">"entero"</definedName>
    <definedName name="solver_rhs2" localSheetId="2" hidden="1">'Spider Plots'!$K$17</definedName>
    <definedName name="solver_rhs3" localSheetId="5" hidden="1">0</definedName>
    <definedName name="solver_rhs3" localSheetId="2" hidden="1">'Spider Plots'!$O$17</definedName>
    <definedName name="solver_rhs4" localSheetId="5" hidden="1">200</definedName>
    <definedName name="solver_rhs5" localSheetId="5" hidden="1">1566</definedName>
    <definedName name="solver_rhs6" localSheetId="5" hidden="1">2880</definedName>
    <definedName name="solver_rlx" localSheetId="5" hidden="1">1</definedName>
    <definedName name="solver_rlx" localSheetId="2" hidden="1">2</definedName>
    <definedName name="solver_rsd" localSheetId="5" hidden="1">0</definedName>
    <definedName name="solver_rsd" localSheetId="2" hidden="1">0</definedName>
    <definedName name="solver_scl" localSheetId="5" hidden="1">1</definedName>
    <definedName name="solver_scl" localSheetId="2" hidden="1">1</definedName>
    <definedName name="solver_sho" localSheetId="5" hidden="1">2</definedName>
    <definedName name="solver_sho" localSheetId="2" hidden="1">2</definedName>
    <definedName name="solver_ssz" localSheetId="5" hidden="1">100</definedName>
    <definedName name="solver_ssz" localSheetId="2" hidden="1">100</definedName>
    <definedName name="solver_tim" localSheetId="5" hidden="1">2147483647</definedName>
    <definedName name="solver_tim" localSheetId="2" hidden="1">2147483647</definedName>
    <definedName name="solver_tol" localSheetId="5" hidden="1">0.01</definedName>
    <definedName name="solver_tol" localSheetId="2" hidden="1">0.01</definedName>
    <definedName name="solver_typ" localSheetId="5" hidden="1">1</definedName>
    <definedName name="solver_typ" localSheetId="2" hidden="1">1</definedName>
    <definedName name="solver_val" localSheetId="5" hidden="1">0</definedName>
    <definedName name="solver_val" localSheetId="2" hidden="1">0</definedName>
    <definedName name="solver_ver" localSheetId="5" hidden="1">3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1" l="1"/>
  <c r="E14" i="11"/>
  <c r="H14" i="11"/>
  <c r="I14" i="11"/>
  <c r="L14" i="11"/>
  <c r="M14" i="11"/>
  <c r="P14" i="11"/>
  <c r="Q14" i="11"/>
  <c r="R14" i="11"/>
  <c r="D15" i="11"/>
  <c r="E15" i="11"/>
  <c r="H15" i="11"/>
  <c r="I15" i="11"/>
  <c r="L15" i="11"/>
  <c r="M15" i="11"/>
  <c r="P15" i="11"/>
  <c r="Q15" i="11"/>
  <c r="D16" i="11"/>
  <c r="E16" i="11"/>
  <c r="H16" i="11"/>
  <c r="I16" i="11"/>
  <c r="L16" i="11"/>
  <c r="M16" i="11"/>
  <c r="P16" i="11"/>
  <c r="Q16" i="11"/>
  <c r="D17" i="11"/>
  <c r="E17" i="11"/>
  <c r="F17" i="11"/>
  <c r="H17" i="11"/>
  <c r="I17" i="11"/>
  <c r="J17" i="11" s="1"/>
  <c r="L17" i="11"/>
  <c r="M17" i="11"/>
  <c r="P17" i="11"/>
  <c r="Q17" i="11"/>
  <c r="P7" i="11"/>
  <c r="Q7" i="11"/>
  <c r="P8" i="11"/>
  <c r="Q8" i="11"/>
  <c r="P9" i="11"/>
  <c r="Q9" i="11"/>
  <c r="P10" i="11"/>
  <c r="Q10" i="11"/>
  <c r="P11" i="11"/>
  <c r="Q11" i="11"/>
  <c r="P12" i="11"/>
  <c r="Q12" i="11"/>
  <c r="P13" i="11"/>
  <c r="R13" i="11" s="1"/>
  <c r="Q13" i="11"/>
  <c r="L7" i="11"/>
  <c r="M7" i="11"/>
  <c r="N7" i="11" s="1"/>
  <c r="L8" i="11"/>
  <c r="M8" i="11"/>
  <c r="L9" i="11"/>
  <c r="M9" i="11"/>
  <c r="L10" i="11"/>
  <c r="M10" i="11"/>
  <c r="L11" i="11"/>
  <c r="M11" i="11"/>
  <c r="L12" i="11"/>
  <c r="M12" i="11"/>
  <c r="L13" i="11"/>
  <c r="M13" i="11"/>
  <c r="H7" i="11"/>
  <c r="I7" i="11"/>
  <c r="H8" i="11"/>
  <c r="I8" i="11"/>
  <c r="H9" i="11"/>
  <c r="I9" i="11"/>
  <c r="H10" i="11"/>
  <c r="I10" i="11"/>
  <c r="H11" i="11"/>
  <c r="J11" i="11" s="1"/>
  <c r="I11" i="11"/>
  <c r="H12" i="11"/>
  <c r="I12" i="11"/>
  <c r="H13" i="11"/>
  <c r="I13" i="11"/>
  <c r="D7" i="11"/>
  <c r="E7" i="11"/>
  <c r="D8" i="11"/>
  <c r="E8" i="11"/>
  <c r="D9" i="11"/>
  <c r="E9" i="11"/>
  <c r="D10" i="11"/>
  <c r="E10" i="11"/>
  <c r="D11" i="11"/>
  <c r="E11" i="11"/>
  <c r="D12" i="11"/>
  <c r="E12" i="11"/>
  <c r="D13" i="11"/>
  <c r="E13" i="11"/>
  <c r="Q6" i="11"/>
  <c r="P6" i="11"/>
  <c r="R6" i="11" s="1"/>
  <c r="M6" i="11"/>
  <c r="L6" i="11"/>
  <c r="I6" i="11"/>
  <c r="H6" i="11"/>
  <c r="E6" i="11"/>
  <c r="D6" i="11"/>
  <c r="F6" i="11" s="1"/>
  <c r="L23" i="1"/>
  <c r="L22" i="1"/>
  <c r="J22" i="1"/>
  <c r="K22" i="1"/>
  <c r="J23" i="1"/>
  <c r="K23" i="1"/>
  <c r="I23" i="1"/>
  <c r="I22" i="1"/>
  <c r="H24" i="1"/>
  <c r="J14" i="11" l="1"/>
  <c r="N11" i="11"/>
  <c r="R17" i="11"/>
  <c r="J16" i="11"/>
  <c r="F16" i="11"/>
  <c r="R16" i="11"/>
  <c r="J15" i="11"/>
  <c r="F15" i="11"/>
  <c r="R15" i="11"/>
  <c r="F14" i="11"/>
  <c r="F13" i="11"/>
  <c r="J13" i="11"/>
  <c r="N13" i="11"/>
  <c r="F12" i="11"/>
  <c r="F11" i="11"/>
  <c r="R11" i="11"/>
  <c r="R10" i="11"/>
  <c r="N10" i="11"/>
  <c r="J10" i="11"/>
  <c r="F10" i="11"/>
  <c r="R9" i="11"/>
  <c r="N9" i="11"/>
  <c r="J9" i="11"/>
  <c r="F9" i="11"/>
  <c r="F8" i="11"/>
  <c r="R8" i="11"/>
  <c r="F7" i="11"/>
  <c r="R7" i="11"/>
  <c r="J7" i="11"/>
  <c r="R12" i="11"/>
  <c r="N8" i="11"/>
  <c r="N14" i="11"/>
  <c r="N12" i="11"/>
  <c r="N15" i="11"/>
  <c r="N16" i="11"/>
  <c r="N17" i="11"/>
  <c r="J8" i="11"/>
  <c r="J12" i="11"/>
  <c r="J6" i="11"/>
  <c r="N6" i="11"/>
  <c r="I24" i="1"/>
  <c r="J24" i="1"/>
  <c r="K24" i="1" l="1"/>
  <c r="L24" i="1"/>
</calcChain>
</file>

<file path=xl/sharedStrings.xml><?xml version="1.0" encoding="utf-8"?>
<sst xmlns="http://schemas.openxmlformats.org/spreadsheetml/2006/main" count="235" uniqueCount="133">
  <si>
    <t>Microsoft Excel 16.0 Answer Report</t>
  </si>
  <si>
    <t>Worksheet: [S2 Analisis sensibilidad.xlsx]Problem 1</t>
  </si>
  <si>
    <t>Result: Solver found a solution.  All Constraints and optimality conditions are satisfied.</t>
  </si>
  <si>
    <t>Solver Engine</t>
  </si>
  <si>
    <t>Engine: GRG Nonlinear</t>
  </si>
  <si>
    <t>Solution Time: 0.016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</si>
  <si>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</si>
  <si>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</si>
  <si>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</si>
  <si>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</si>
  <si>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Solve Without Integer Constraints</t>
  </si>
  <si>
    <t>Objective Cell (Max)</t>
  </si>
  <si>
    <t>Cell</t>
  </si>
  <si>
    <t>Name</t>
  </si>
  <si>
    <t>Original Value</t>
  </si>
  <si>
    <t>Final Value</t>
  </si>
  <si>
    <t>$L$24</t>
  </si>
  <si>
    <t>Total Profit</t>
  </si>
  <si>
    <t>Variable Cells</t>
  </si>
  <si>
    <t>Integer</t>
  </si>
  <si>
    <t>$H$22</t>
  </si>
  <si>
    <t>X1 Units to be produced</t>
  </si>
  <si>
    <t>Contin</t>
  </si>
  <si>
    <t>$H$23</t>
  </si>
  <si>
    <t>X2 Units to be produced</t>
  </si>
  <si>
    <t>Constraints</t>
  </si>
  <si>
    <t>Cell Value</t>
  </si>
  <si>
    <t>Formula</t>
  </si>
  <si>
    <t>Status</t>
  </si>
  <si>
    <t>Slack</t>
  </si>
  <si>
    <t>$I$24</t>
  </si>
  <si>
    <t>Total Pump</t>
  </si>
  <si>
    <t>$I$24&lt;=200</t>
  </si>
  <si>
    <t>Binding</t>
  </si>
  <si>
    <t>$J$24</t>
  </si>
  <si>
    <t>Total Labor</t>
  </si>
  <si>
    <t>$J$24&lt;=1566</t>
  </si>
  <si>
    <t>$K$24</t>
  </si>
  <si>
    <t>Total Tubing</t>
  </si>
  <si>
    <t>$K$24&lt;=2880</t>
  </si>
  <si>
    <t>Not Binding</t>
  </si>
  <si>
    <t>$H$22&gt;=0</t>
  </si>
  <si>
    <t>$H$23&gt;=0</t>
  </si>
  <si>
    <t>Microsoft Excel 16.0 Sensitivity Report</t>
  </si>
  <si>
    <t>Final</t>
  </si>
  <si>
    <t>Reduced</t>
  </si>
  <si>
    <t>Objective</t>
  </si>
  <si>
    <t>Allowable</t>
  </si>
  <si>
    <t>Value</t>
  </si>
  <si>
    <t>Cost</t>
  </si>
  <si>
    <t>Coefficient</t>
  </si>
  <si>
    <t>Increase</t>
  </si>
  <si>
    <t>Decrease</t>
  </si>
  <si>
    <t>Shadow</t>
  </si>
  <si>
    <t>Constraint</t>
  </si>
  <si>
    <t>Price</t>
  </si>
  <si>
    <t>R.H. Side</t>
  </si>
  <si>
    <t>Spider Plots and Tables</t>
  </si>
  <si>
    <t>X1 Produced</t>
  </si>
  <si>
    <t>X2 Produced</t>
  </si>
  <si>
    <t>X1 Pumps</t>
  </si>
  <si>
    <t>X2 Pumps</t>
  </si>
  <si>
    <t>Pumps Used</t>
  </si>
  <si>
    <t>Pump Capacity</t>
  </si>
  <si>
    <t>X1 Labor</t>
  </si>
  <si>
    <t>X2 Labor</t>
  </si>
  <si>
    <t>Labor Used</t>
  </si>
  <si>
    <t>Labor Capacity</t>
  </si>
  <si>
    <t>X1 Tubing</t>
  </si>
  <si>
    <t>X2 Tubing</t>
  </si>
  <si>
    <t>Tubing Used</t>
  </si>
  <si>
    <t>Tubing Capacity</t>
  </si>
  <si>
    <t>X1 Profit</t>
  </si>
  <si>
    <t>X2 Profit</t>
  </si>
  <si>
    <t>Profit Used</t>
  </si>
  <si>
    <t>&lt;- Original</t>
  </si>
  <si>
    <t>&lt;- Aumentó 1000 (Tal como dijo el sensitivity analysis)</t>
  </si>
  <si>
    <t>&lt;- Aumentó 1500 (Ya no esta dentro del rango del shadow price)</t>
  </si>
  <si>
    <t>&lt;- Ya no aumenta</t>
  </si>
  <si>
    <t>&lt;- Aumentó 2232 (Tal como dijo el sensitivity analysis)</t>
  </si>
  <si>
    <t>&lt;- Aumentó 3900 (Ya no esta dentro del rango de shadow price)</t>
  </si>
  <si>
    <t>&lt;- No aumenta (Tal como dijo sensitivity analysis)</t>
  </si>
  <si>
    <t>Tubing capacity</t>
  </si>
  <si>
    <t>Tinas y Baños</t>
  </si>
  <si>
    <t>Problem statement</t>
  </si>
  <si>
    <t>Your sales analysis clerk shares the following LP problem:</t>
  </si>
  <si>
    <t>And you want to help solving the problem.</t>
  </si>
  <si>
    <t>Profit</t>
  </si>
  <si>
    <t>Pump</t>
  </si>
  <si>
    <t>Labor</t>
  </si>
  <si>
    <t>Tubing</t>
  </si>
  <si>
    <t>Units to be produced</t>
  </si>
  <si>
    <t>X1</t>
  </si>
  <si>
    <t>X2</t>
  </si>
  <si>
    <t>Microsoft Excel 16.0 Informe de respuestas</t>
  </si>
  <si>
    <t>Hoja de cálculo: [Segundo ejemplo LP y analisis de sensibilidad.xlsx]Problem 1</t>
  </si>
  <si>
    <t>Informe creado: 26/08/2026 06:45:59 p. m.</t>
  </si>
  <si>
    <t>Resultado: Solver encontró una solución. Se cumplen todas las restricciones y condiciones óptimas.</t>
  </si>
  <si>
    <t>Motor de Solver</t>
  </si>
  <si>
    <t>Motor: Simplex LP</t>
  </si>
  <si>
    <t>Tiempo de la solución: 0.016 segundos.</t>
  </si>
  <si>
    <t>Iteraciones: 2 Subproblemas: 0</t>
  </si>
  <si>
    <t>Opciones de Solver</t>
  </si>
  <si>
    <t>Tiempo máximo Ilimitado,  Iteraciones Ilimitado, Precision 0.000001, Usar escala automática</t>
  </si>
  <si>
    <t>Máximo de subproblemas Ilimitado, Máximo de soluciones de enteros Ilimitado, Tolerancia de enteros 1%, Resolver sin restricciones de enteros</t>
  </si>
  <si>
    <t>Celda objetivo (Máx)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</si>
  <si>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</si>
  <si>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</si>
  <si>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</si>
  <si>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</si>
  <si>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</si>
  <si>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</si>
  <si>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</si>
  <si>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</si>
  <si>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</si>
  <si>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Estado</t>
  </si>
  <si>
    <t>Demora</t>
  </si>
  <si>
    <t>Vinculante</t>
  </si>
  <si>
    <t>No vinculante</t>
  </si>
  <si>
    <t>$H$22:$H$23=Entero</t>
  </si>
  <si>
    <t>Microsoft Excel 16.0 Informe de sensibilidad</t>
  </si>
  <si>
    <t>Valor</t>
  </si>
  <si>
    <t>Reducido</t>
  </si>
  <si>
    <t>Coste</t>
  </si>
  <si>
    <t>Objetivo</t>
  </si>
  <si>
    <t>Coeficiente</t>
  </si>
  <si>
    <t>Permisible</t>
  </si>
  <si>
    <t>Aumentar</t>
  </si>
  <si>
    <t>Reducir</t>
  </si>
  <si>
    <t>Sombra</t>
  </si>
  <si>
    <t>Precio</t>
  </si>
  <si>
    <t>Restricción</t>
  </si>
  <si>
    <t>Lado 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</si>
</sst>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"/>
    <numFmt numFmtId="166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0" fillId="2" borderId="9" xfId="0" applyFill="1" applyBorder="1" applyAlignment="1">
      <alignment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/>
    </xf>
    <xf numFmtId="164" fontId="2" fillId="2" borderId="0" xfId="1" applyFont="1" applyFill="1" applyAlignment="1">
      <alignment horizontal="center"/>
    </xf>
    <xf numFmtId="0" fontId="2" fillId="0" borderId="0" xfId="0" applyFont="1"/>
    <xf numFmtId="165" fontId="0" fillId="2" borderId="1" xfId="0" applyNumberFormat="1" applyFill="1" applyBorder="1" applyAlignment="1">
      <alignment horizontal="center"/>
    </xf>
    <xf numFmtId="0" fontId="0" fillId="0" borderId="11" xfId="0" applyBorder="1"/>
    <xf numFmtId="0" fontId="4" fillId="0" borderId="10" xfId="0" applyFont="1" applyBorder="1" applyAlignment="1">
      <alignment horizontal="center"/>
    </xf>
    <xf numFmtId="0" fontId="0" fillId="0" borderId="12" xfId="0" applyBorder="1"/>
    <xf numFmtId="164" fontId="0" fillId="0" borderId="11" xfId="0" applyNumberFormat="1" applyBorder="1"/>
    <xf numFmtId="1" fontId="0" fillId="0" borderId="12" xfId="0" applyNumberForma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5" fillId="2" borderId="0" xfId="0" applyFont="1" applyFill="1"/>
    <xf numFmtId="0" fontId="2" fillId="8" borderId="1" xfId="0" applyFont="1" applyFill="1" applyBorder="1"/>
    <xf numFmtId="0" fontId="2" fillId="9" borderId="1" xfId="0" applyFont="1" applyFill="1" applyBorder="1"/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1" xfId="0" applyFill="1" applyBorder="1" applyAlignment="1"/>
    <xf numFmtId="0" fontId="4" fillId="0" borderId="10" xfId="0" applyFont="1" applyFill="1" applyBorder="1" applyAlignment="1">
      <alignment horizontal="center"/>
    </xf>
    <xf numFmtId="0" fontId="0" fillId="0" borderId="12" xfId="0" applyFill="1" applyBorder="1" applyAlignment="1"/>
    <xf numFmtId="44" fontId="0" fillId="0" borderId="11" xfId="0" applyNumberFormat="1" applyFill="1" applyBorder="1" applyAlignment="1"/>
    <xf numFmtId="0" fontId="0" fillId="0" borderId="12" xfId="0" applyNumberFormat="1" applyFill="1" applyBorder="1" applyAlignment="1"/>
    <xf numFmtId="0" fontId="0" fillId="0" borderId="11" xfId="0" applyNumberFormat="1" applyFill="1" applyBorder="1" applyAlignment="1"/>
    <xf numFmtId="1" fontId="0" fillId="0" borderId="12" xfId="0" applyNumberFormat="1" applyFill="1" applyBorder="1" applyAlignment="1"/>
    <xf numFmtId="0" fontId="4" fillId="0" borderId="13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Spider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'Spider Plots'!$C$27</c:f>
              <c:strCache>
                <c:ptCount val="1"/>
                <c:pt idx="0">
                  <c:v>Pump Capacity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'Spider Plots'!$C$28:$C$31</c:f>
              <c:numCache>
                <c:formatCode>"$"#,##0</c:formatCode>
                <c:ptCount val="4"/>
                <c:pt idx="0">
                  <c:v>66100</c:v>
                </c:pt>
                <c:pt idx="1">
                  <c:v>67100</c:v>
                </c:pt>
                <c:pt idx="2">
                  <c:v>67500</c:v>
                </c:pt>
                <c:pt idx="3">
                  <c:v>67500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7-46BA-B50C-FA702F792BD1}"/>
            </c:ext>
          </c:extLst>
        </c:ser>
        <c:ser>
          <c:idx val="1"/>
          <c:order val="1"/>
          <c:tx>
            <c:strRef>
              <c:f>'Spider Plots'!$D$27</c:f>
              <c:strCache>
                <c:ptCount val="1"/>
                <c:pt idx="0">
                  <c:v>Labor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'Spider Plots'!$D$28:$D$31</c:f>
              <c:numCache>
                <c:formatCode>"$"#,##0</c:formatCode>
                <c:ptCount val="4"/>
                <c:pt idx="0">
                  <c:v>68333.333333333328</c:v>
                </c:pt>
                <c:pt idx="1">
                  <c:v>70000</c:v>
                </c:pt>
                <c:pt idx="2">
                  <c:v>70000</c:v>
                </c:pt>
                <c:pt idx="3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47-46BA-B50C-FA702F792BD1}"/>
            </c:ext>
          </c:extLst>
        </c:ser>
        <c:ser>
          <c:idx val="2"/>
          <c:order val="2"/>
          <c:tx>
            <c:strRef>
              <c:f>'Spider Plots'!$E$27</c:f>
              <c:strCache>
                <c:ptCount val="1"/>
                <c:pt idx="0">
                  <c:v>Tubing capacity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'Spider Plots'!$E$28:$E$31</c:f>
              <c:numCache>
                <c:formatCode>"$"#,##0</c:formatCode>
                <c:ptCount val="4"/>
                <c:pt idx="0">
                  <c:v>66100</c:v>
                </c:pt>
                <c:pt idx="1">
                  <c:v>66100</c:v>
                </c:pt>
                <c:pt idx="2">
                  <c:v>66100</c:v>
                </c:pt>
                <c:pt idx="3">
                  <c:v>66100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47-46BA-B50C-FA702F792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24336"/>
        <c:axId val="83625296"/>
      </c:lineChart>
      <c:catAx>
        <c:axId val="83624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25296"/>
        <c:crosses val="autoZero"/>
        <c:auto val="1"/>
        <c:lblAlgn val="ctr"/>
        <c:lblOffset val="100"/>
        <c:noMultiLvlLbl val="0"/>
      </c:catAx>
      <c:valAx>
        <c:axId val="836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2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24</xdr:row>
      <xdr:rowOff>85725</xdr:rowOff>
    </xdr:from>
    <xdr:to>
      <xdr:col>13</xdr:col>
      <xdr:colOff>438150</xdr:colOff>
      <xdr:row>28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E87FB4-D33B-43C6-8973-F93C0984E362}"/>
            </a:ext>
          </a:extLst>
        </xdr:cNvPr>
        <xdr:cNvSpPr txBox="1"/>
      </xdr:nvSpPr>
      <xdr:spPr>
        <a:xfrm>
          <a:off x="5419725" y="3571875"/>
          <a:ext cx="3571875" cy="86677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Binding</a:t>
          </a:r>
          <a:r>
            <a:rPr lang="en-US" sz="1100" kern="1200" baseline="0"/>
            <a:t> significa que la totalidad de material se utilizó y la restricción se cumple al límite.</a:t>
          </a:r>
        </a:p>
        <a:p>
          <a:r>
            <a:rPr lang="en-US" sz="1100" kern="1200" baseline="0"/>
            <a:t>Estas variables impiden que la empresa de tinas gane más dinero.</a:t>
          </a:r>
          <a:endParaRPr lang="en-US" sz="1100" kern="1200"/>
        </a:p>
      </xdr:txBody>
    </xdr:sp>
    <xdr:clientData/>
  </xdr:twoCellAnchor>
  <xdr:twoCellAnchor>
    <xdr:from>
      <xdr:col>7</xdr:col>
      <xdr:colOff>66675</xdr:colOff>
      <xdr:row>27</xdr:row>
      <xdr:rowOff>47625</xdr:rowOff>
    </xdr:from>
    <xdr:to>
      <xdr:col>7</xdr:col>
      <xdr:colOff>171450</xdr:colOff>
      <xdr:row>27</xdr:row>
      <xdr:rowOff>133350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33CF8B8-C54D-4F67-852F-CAD0AD1CC54D}"/>
            </a:ext>
          </a:extLst>
        </xdr:cNvPr>
        <xdr:cNvSpPr/>
      </xdr:nvSpPr>
      <xdr:spPr>
        <a:xfrm>
          <a:off x="4962525" y="4124325"/>
          <a:ext cx="104775" cy="857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66675</xdr:colOff>
      <xdr:row>26</xdr:row>
      <xdr:rowOff>47625</xdr:rowOff>
    </xdr:from>
    <xdr:to>
      <xdr:col>7</xdr:col>
      <xdr:colOff>171450</xdr:colOff>
      <xdr:row>26</xdr:row>
      <xdr:rowOff>133350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4D66541-C0D0-4051-BB65-12BCDA938079}"/>
            </a:ext>
          </a:extLst>
        </xdr:cNvPr>
        <xdr:cNvSpPr/>
      </xdr:nvSpPr>
      <xdr:spPr>
        <a:xfrm>
          <a:off x="4962525" y="3933825"/>
          <a:ext cx="104775" cy="857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66675</xdr:colOff>
      <xdr:row>28</xdr:row>
      <xdr:rowOff>76200</xdr:rowOff>
    </xdr:from>
    <xdr:to>
      <xdr:col>7</xdr:col>
      <xdr:colOff>180975</xdr:colOff>
      <xdr:row>28</xdr:row>
      <xdr:rowOff>180975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AEF4995-F736-4A34-92DF-07363C8B0BE0}"/>
            </a:ext>
          </a:extLst>
        </xdr:cNvPr>
        <xdr:cNvSpPr/>
      </xdr:nvSpPr>
      <xdr:spPr>
        <a:xfrm>
          <a:off x="4962525" y="4343400"/>
          <a:ext cx="114300" cy="104775"/>
        </a:xfrm>
        <a:prstGeom prst="ellipse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523875</xdr:colOff>
      <xdr:row>29</xdr:row>
      <xdr:rowOff>123825</xdr:rowOff>
    </xdr:from>
    <xdr:to>
      <xdr:col>13</xdr:col>
      <xdr:colOff>438150</xdr:colOff>
      <xdr:row>32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94D6A8-2E7C-4796-A1E8-57A135AFFA2D}"/>
            </a:ext>
          </a:extLst>
        </xdr:cNvPr>
        <xdr:cNvSpPr txBox="1"/>
      </xdr:nvSpPr>
      <xdr:spPr>
        <a:xfrm>
          <a:off x="5419725" y="4581525"/>
          <a:ext cx="3571875" cy="504825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Slack es la cantidad de material que sobró considerando</a:t>
          </a:r>
          <a:r>
            <a:rPr lang="en-US" sz="1100" kern="1200" baseline="0"/>
            <a:t> la solución óptima y las restricciones dadas.</a:t>
          </a:r>
        </a:p>
        <a:p>
          <a:endParaRPr lang="en-US" sz="1100" kern="1200" baseline="0"/>
        </a:p>
        <a:p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17</xdr:row>
      <xdr:rowOff>85725</xdr:rowOff>
    </xdr:from>
    <xdr:to>
      <xdr:col>4</xdr:col>
      <xdr:colOff>514350</xdr:colOff>
      <xdr:row>18</xdr:row>
      <xdr:rowOff>57150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126A7A47-4A74-89B2-9D99-4662D664A91E}"/>
            </a:ext>
          </a:extLst>
        </xdr:cNvPr>
        <xdr:cNvSpPr/>
      </xdr:nvSpPr>
      <xdr:spPr>
        <a:xfrm>
          <a:off x="2800350" y="3381375"/>
          <a:ext cx="161925" cy="161925"/>
        </a:xfrm>
        <a:prstGeom prst="up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752475</xdr:colOff>
      <xdr:row>18</xdr:row>
      <xdr:rowOff>171450</xdr:rowOff>
    </xdr:from>
    <xdr:to>
      <xdr:col>5</xdr:col>
      <xdr:colOff>9525</xdr:colOff>
      <xdr:row>23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A5BF18-2C14-E55C-CE08-AEEE6411E513}"/>
            </a:ext>
          </a:extLst>
        </xdr:cNvPr>
        <xdr:cNvSpPr txBox="1"/>
      </xdr:nvSpPr>
      <xdr:spPr>
        <a:xfrm>
          <a:off x="1323975" y="3657600"/>
          <a:ext cx="1933575" cy="838200"/>
        </a:xfrm>
        <a:prstGeom prst="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Shadow price te indica cuantas unidades de tu función objetivo aumentan si incrementas una unidad de esa variable.</a:t>
          </a:r>
        </a:p>
      </xdr:txBody>
    </xdr:sp>
    <xdr:clientData/>
  </xdr:twoCellAnchor>
  <xdr:twoCellAnchor>
    <xdr:from>
      <xdr:col>6</xdr:col>
      <xdr:colOff>419100</xdr:colOff>
      <xdr:row>17</xdr:row>
      <xdr:rowOff>76200</xdr:rowOff>
    </xdr:from>
    <xdr:to>
      <xdr:col>6</xdr:col>
      <xdr:colOff>581025</xdr:colOff>
      <xdr:row>18</xdr:row>
      <xdr:rowOff>47625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AEC17458-0765-409F-9E79-E4232FD2DDE5}"/>
            </a:ext>
          </a:extLst>
        </xdr:cNvPr>
        <xdr:cNvSpPr/>
      </xdr:nvSpPr>
      <xdr:spPr>
        <a:xfrm>
          <a:off x="4419600" y="3371850"/>
          <a:ext cx="161925" cy="161925"/>
        </a:xfrm>
        <a:prstGeom prst="up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257175</xdr:colOff>
      <xdr:row>18</xdr:row>
      <xdr:rowOff>152400</xdr:rowOff>
    </xdr:from>
    <xdr:to>
      <xdr:col>11</xdr:col>
      <xdr:colOff>438150</xdr:colOff>
      <xdr:row>23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193FA8-2FD0-4194-ABB7-7E4006EB2A46}"/>
            </a:ext>
          </a:extLst>
        </xdr:cNvPr>
        <xdr:cNvSpPr txBox="1"/>
      </xdr:nvSpPr>
      <xdr:spPr>
        <a:xfrm>
          <a:off x="4257675" y="3638550"/>
          <a:ext cx="3457575" cy="838200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Allowable Increase/Decrease</a:t>
          </a:r>
        </a:p>
        <a:p>
          <a:r>
            <a:rPr lang="en-US" sz="1100" kern="1200"/>
            <a:t>Son los limites de unidades de esa variable en la que el shadow price</a:t>
          </a:r>
          <a:r>
            <a:rPr lang="en-US" sz="1100" kern="1200" baseline="0"/>
            <a:t> se va a comportar de esa manera. (Si te pasas de esos valores ya no es valido el shadow price)</a:t>
          </a:r>
          <a:endParaRPr lang="en-US" sz="1100" kern="1200"/>
        </a:p>
      </xdr:txBody>
    </xdr:sp>
    <xdr:clientData/>
  </xdr:twoCellAnchor>
  <xdr:twoCellAnchor>
    <xdr:from>
      <xdr:col>4</xdr:col>
      <xdr:colOff>457200</xdr:colOff>
      <xdr:row>4</xdr:row>
      <xdr:rowOff>76200</xdr:rowOff>
    </xdr:from>
    <xdr:to>
      <xdr:col>4</xdr:col>
      <xdr:colOff>628650</xdr:colOff>
      <xdr:row>5</xdr:row>
      <xdr:rowOff>104775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6400B0CD-6756-977B-7B6E-780A11D6CF2F}"/>
            </a:ext>
          </a:extLst>
        </xdr:cNvPr>
        <xdr:cNvSpPr/>
      </xdr:nvSpPr>
      <xdr:spPr>
        <a:xfrm>
          <a:off x="2905125" y="838200"/>
          <a:ext cx="171450" cy="219075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5</xdr:col>
      <xdr:colOff>161925</xdr:colOff>
      <xdr:row>0</xdr:row>
      <xdr:rowOff>47625</xdr:rowOff>
    </xdr:from>
    <xdr:to>
      <xdr:col>10</xdr:col>
      <xdr:colOff>9525</xdr:colOff>
      <xdr:row>4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D64AF9-E7DA-4A67-A547-03521CF28FAD}"/>
            </a:ext>
          </a:extLst>
        </xdr:cNvPr>
        <xdr:cNvSpPr txBox="1"/>
      </xdr:nvSpPr>
      <xdr:spPr>
        <a:xfrm>
          <a:off x="3409950" y="47625"/>
          <a:ext cx="3267075" cy="838200"/>
        </a:xfrm>
        <a:prstGeom prst="rect">
          <a:avLst/>
        </a:prstGeom>
        <a:solidFill>
          <a:srgbClr val="C00000"/>
        </a:solidFill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Reduced Cost te indica cuantas</a:t>
          </a:r>
          <a:r>
            <a:rPr lang="en-US" sz="1100" kern="1200" baseline="0"/>
            <a:t> unidades de tu función objetivo aumentan si incrementas una unidad de cada variable. En este caso es 0 porque ya no podemos hacer más</a:t>
          </a:r>
          <a:endParaRPr lang="en-US" sz="1100" kern="1200"/>
        </a:p>
      </xdr:txBody>
    </xdr:sp>
    <xdr:clientData/>
  </xdr:twoCellAnchor>
  <xdr:twoCellAnchor>
    <xdr:from>
      <xdr:col>9</xdr:col>
      <xdr:colOff>114300</xdr:colOff>
      <xdr:row>6</xdr:row>
      <xdr:rowOff>85724</xdr:rowOff>
    </xdr:from>
    <xdr:to>
      <xdr:col>14</xdr:col>
      <xdr:colOff>333375</xdr:colOff>
      <xdr:row>12</xdr:row>
      <xdr:rowOff>47624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4660E29-AEFF-40DD-874C-FE7ACB4E615E}"/>
            </a:ext>
          </a:extLst>
        </xdr:cNvPr>
        <xdr:cNvSpPr txBox="1"/>
      </xdr:nvSpPr>
      <xdr:spPr>
        <a:xfrm>
          <a:off x="6172200" y="1238249"/>
          <a:ext cx="3267075" cy="1133475"/>
        </a:xfrm>
        <a:prstGeom prst="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Allowable</a:t>
          </a:r>
          <a:r>
            <a:rPr lang="en-US" sz="1100" kern="1200" baseline="0"/>
            <a:t> Increase/Decrease te dice cuanto podrían variar los coeficientes de tu función objetivo sin que deje de ser optima (350+100) y (350-50) y se cumpla el reduced cost</a:t>
          </a:r>
        </a:p>
        <a:p>
          <a:r>
            <a:rPr lang="en-US" sz="1100" kern="1200"/>
            <a:t>122 y 78 seguirán</a:t>
          </a:r>
          <a:r>
            <a:rPr lang="en-US" sz="1100" kern="1200" baseline="0"/>
            <a:t> siendo optimos aunque aumenten la ganancia en ese rango</a:t>
          </a:r>
          <a:endParaRPr lang="en-US" sz="1100" kern="1200"/>
        </a:p>
      </xdr:txBody>
    </xdr:sp>
    <xdr:clientData/>
  </xdr:twoCellAnchor>
  <xdr:twoCellAnchor>
    <xdr:from>
      <xdr:col>8</xdr:col>
      <xdr:colOff>361950</xdr:colOff>
      <xdr:row>8</xdr:row>
      <xdr:rowOff>76200</xdr:rowOff>
    </xdr:from>
    <xdr:to>
      <xdr:col>8</xdr:col>
      <xdr:colOff>523875</xdr:colOff>
      <xdr:row>9</xdr:row>
      <xdr:rowOff>47625</xdr:rowOff>
    </xdr:to>
    <xdr:sp macro="" textlink="">
      <xdr:nvSpPr>
        <xdr:cNvPr id="10" name="Arrow: Up 9">
          <a:extLst>
            <a:ext uri="{FF2B5EF4-FFF2-40B4-BE49-F238E27FC236}">
              <a16:creationId xmlns:a16="http://schemas.microsoft.com/office/drawing/2014/main" id="{0DA7EDFA-B1AB-49DE-9E7F-018E26E6206D}"/>
            </a:ext>
          </a:extLst>
        </xdr:cNvPr>
        <xdr:cNvSpPr/>
      </xdr:nvSpPr>
      <xdr:spPr>
        <a:xfrm rot="16200000">
          <a:off x="5810250" y="1619250"/>
          <a:ext cx="161925" cy="161925"/>
        </a:xfrm>
        <a:prstGeom prst="up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704850</xdr:colOff>
      <xdr:row>21</xdr:row>
      <xdr:rowOff>90487</xdr:rowOff>
    </xdr:from>
    <xdr:to>
      <xdr:col>16</xdr:col>
      <xdr:colOff>171450</xdr:colOff>
      <xdr:row>40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9C6AF8-9B4D-66AF-6C1B-C6BE65D58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1</xdr:row>
      <xdr:rowOff>9526</xdr:rowOff>
    </xdr:from>
    <xdr:to>
      <xdr:col>11</xdr:col>
      <xdr:colOff>361950</xdr:colOff>
      <xdr:row>6</xdr:row>
      <xdr:rowOff>2879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516FF-D804-4740-456E-47A105247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6775" y="200026"/>
          <a:ext cx="1609725" cy="1109683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295275</xdr:colOff>
      <xdr:row>1</xdr:row>
      <xdr:rowOff>19051</xdr:rowOff>
    </xdr:from>
    <xdr:to>
      <xdr:col>8</xdr:col>
      <xdr:colOff>400050</xdr:colOff>
      <xdr:row>5</xdr:row>
      <xdr:rowOff>167135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397FD0-7395-402C-209F-D8C0E594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6075" y="209551"/>
          <a:ext cx="1609725" cy="1081534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9</xdr:row>
      <xdr:rowOff>123825</xdr:rowOff>
    </xdr:from>
    <xdr:to>
      <xdr:col>9</xdr:col>
      <xdr:colOff>253068</xdr:colOff>
      <xdr:row>16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CB2BE3-5D12-09C9-2FFE-E1D47C1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" y="2200275"/>
          <a:ext cx="4967943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C4D9-BC80-414D-9491-937E51427331}">
  <dimension ref="A1:G31"/>
  <sheetViews>
    <sheetView showGridLines="0" workbookViewId="0">
      <selection activeCell="H4" sqref="H4"/>
    </sheetView>
  </sheetViews>
  <sheetFormatPr baseColWidth="10" defaultColWidth="8.88671875" defaultRowHeight="14.4" outlineLevelRow="1" x14ac:dyDescent="0.3"/>
  <cols>
    <col min="1" max="1" width="2.21875" customWidth="1"/>
    <col min="2" max="2" width="6.21875" bestFit="1" customWidth="1"/>
    <col min="3" max="3" width="22.109375" bestFit="1" customWidth="1"/>
    <col min="4" max="4" width="13.5546875" bestFit="1" customWidth="1"/>
    <col min="5" max="5" width="12.109375" bestFit="1" customWidth="1"/>
    <col min="6" max="6" width="11.21875" bestFit="1" customWidth="1"/>
    <col min="7" max="7" width="5.77734375" bestFit="1" customWidth="1"/>
  </cols>
  <sheetData>
    <row r="1" spans="1:5" x14ac:dyDescent="0.3">
      <c r="A1" s="19" t="s">
        <v>0</v>
      </c>
    </row>
    <row r="2" spans="1:5" x14ac:dyDescent="0.3">
      <c r="A2" s="19" t="s">
        <v>1</v>
      </c>
    </row>
    <row r="3" spans="1:5" x14ac:dyDescent="0.3">
      <c r="A3" s="19"/>
    </row>
    <row r="4" spans="1:5" x14ac:dyDescent="0.3">
      <c r="A4" s="19" t="s">
        <v>2</v>
      </c>
    </row>
    <row r="5" spans="1:5" x14ac:dyDescent="0.3">
      <c r="A5" s="19" t="s">
        <v>3</v>
      </c>
    </row>
    <row r="6" spans="1:5" hidden="1" outlineLevel="1" x14ac:dyDescent="0.3">
      <c r="A6" s="19"/>
      <c r="B6" t="s">
        <v>4</v>
      </c>
    </row>
    <row r="7" spans="1:5" hidden="1" outlineLevel="1" x14ac:dyDescent="0.3">
      <c r="A7" s="19"/>
      <c r="B7" t="s">
        <v>5</v>
      </c>
    </row>
    <row r="8" spans="1:5" hidden="1" outlineLevel="1" x14ac:dyDescent="0.3">
      <c r="A8" s="19"/>
      <c r="B8" t="s">
        <v>6</v>
      </c>
    </row>
    <row r="9" spans="1:5" collapsed="1" x14ac:dyDescent="0.3">
      <c r="A9" s="19" t="s">
        <v>7</v>
      </c>
    </row>
    <row r="10" spans="1:5" hidden="1" outlineLevel="1" x14ac:dyDescent="0.3">
      <c r="B10" t="s">
        <v>8</v>
      </c>
    </row>
    <row r="11" spans="1:5" hidden="1" outlineLevel="1" x14ac:dyDescent="0.3">
      <c r="B11" t="s">
        <v>9</v>
      </c>
    </row>
    <row r="12" spans="1:5" hidden="1" outlineLevel="1" x14ac:dyDescent="0.3">
      <c r="B12" t="s">
        <v>10</v>
      </c>
    </row>
    <row r="13" spans="1:5" collapsed="1" x14ac:dyDescent="0.3"/>
    <row r="14" spans="1:5" ht="15" thickBot="1" x14ac:dyDescent="0.35">
      <c r="A14" t="s">
        <v>11</v>
      </c>
    </row>
    <row r="15" spans="1:5" ht="15" thickBot="1" x14ac:dyDescent="0.35">
      <c r="B15" s="22" t="s">
        <v>12</v>
      </c>
      <c r="C15" s="22" t="s">
        <v>13</v>
      </c>
      <c r="D15" s="22" t="s">
        <v>14</v>
      </c>
      <c r="E15" s="22" t="s">
        <v>15</v>
      </c>
    </row>
    <row r="16" spans="1:5" ht="15" thickBot="1" x14ac:dyDescent="0.35">
      <c r="B16" s="21" t="s">
        <v>16</v>
      </c>
      <c r="C16" s="21" t="s">
        <v>17</v>
      </c>
      <c r="D16" s="24">
        <v>66100</v>
      </c>
      <c r="E16" s="24">
        <v>66100</v>
      </c>
    </row>
    <row r="19" spans="1:7" ht="15" thickBot="1" x14ac:dyDescent="0.35">
      <c r="A19" t="s">
        <v>18</v>
      </c>
    </row>
    <row r="20" spans="1:7" ht="15" thickBot="1" x14ac:dyDescent="0.35">
      <c r="B20" s="22" t="s">
        <v>12</v>
      </c>
      <c r="C20" s="22" t="s">
        <v>13</v>
      </c>
      <c r="D20" s="22" t="s">
        <v>14</v>
      </c>
      <c r="E20" s="22" t="s">
        <v>15</v>
      </c>
      <c r="F20" s="22" t="s">
        <v>19</v>
      </c>
    </row>
    <row r="21" spans="1:7" x14ac:dyDescent="0.3">
      <c r="B21" s="23" t="s">
        <v>20</v>
      </c>
      <c r="C21" s="23" t="s">
        <v>21</v>
      </c>
      <c r="D21" s="23">
        <v>122</v>
      </c>
      <c r="E21" s="23">
        <v>122</v>
      </c>
      <c r="F21" s="23" t="s">
        <v>22</v>
      </c>
    </row>
    <row r="22" spans="1:7" ht="15" thickBot="1" x14ac:dyDescent="0.35">
      <c r="B22" s="21" t="s">
        <v>23</v>
      </c>
      <c r="C22" s="21" t="s">
        <v>24</v>
      </c>
      <c r="D22" s="21">
        <v>78</v>
      </c>
      <c r="E22" s="21">
        <v>78</v>
      </c>
      <c r="F22" s="21" t="s">
        <v>22</v>
      </c>
    </row>
    <row r="25" spans="1:7" ht="15" thickBot="1" x14ac:dyDescent="0.35">
      <c r="A25" t="s">
        <v>25</v>
      </c>
    </row>
    <row r="26" spans="1:7" ht="15" thickBot="1" x14ac:dyDescent="0.35">
      <c r="B26" s="22" t="s">
        <v>12</v>
      </c>
      <c r="C26" s="22" t="s">
        <v>13</v>
      </c>
      <c r="D26" s="22" t="s">
        <v>26</v>
      </c>
      <c r="E26" s="22" t="s">
        <v>27</v>
      </c>
      <c r="F26" s="22" t="s">
        <v>28</v>
      </c>
      <c r="G26" s="22" t="s">
        <v>29</v>
      </c>
    </row>
    <row r="27" spans="1:7" x14ac:dyDescent="0.3">
      <c r="B27" s="23" t="s">
        <v>30</v>
      </c>
      <c r="C27" s="23" t="s">
        <v>31</v>
      </c>
      <c r="D27" s="25">
        <v>200</v>
      </c>
      <c r="E27" s="23" t="s">
        <v>32</v>
      </c>
      <c r="F27" s="23" t="s">
        <v>33</v>
      </c>
      <c r="G27" s="23">
        <v>0</v>
      </c>
    </row>
    <row r="28" spans="1:7" x14ac:dyDescent="0.3">
      <c r="B28" s="23" t="s">
        <v>34</v>
      </c>
      <c r="C28" s="23" t="s">
        <v>35</v>
      </c>
      <c r="D28" s="25">
        <v>1566</v>
      </c>
      <c r="E28" s="23" t="s">
        <v>36</v>
      </c>
      <c r="F28" s="23" t="s">
        <v>33</v>
      </c>
      <c r="G28" s="23">
        <v>0</v>
      </c>
    </row>
    <row r="29" spans="1:7" x14ac:dyDescent="0.3">
      <c r="B29" s="23" t="s">
        <v>37</v>
      </c>
      <c r="C29" s="23" t="s">
        <v>38</v>
      </c>
      <c r="D29" s="25">
        <v>2712</v>
      </c>
      <c r="E29" s="23" t="s">
        <v>39</v>
      </c>
      <c r="F29" s="23" t="s">
        <v>40</v>
      </c>
      <c r="G29" s="23">
        <v>168.00000000000045</v>
      </c>
    </row>
    <row r="30" spans="1:7" x14ac:dyDescent="0.3">
      <c r="B30" s="23" t="s">
        <v>20</v>
      </c>
      <c r="C30" s="23" t="s">
        <v>21</v>
      </c>
      <c r="D30" s="23">
        <v>122</v>
      </c>
      <c r="E30" s="23" t="s">
        <v>41</v>
      </c>
      <c r="F30" s="23" t="s">
        <v>40</v>
      </c>
      <c r="G30" s="23">
        <v>122</v>
      </c>
    </row>
    <row r="31" spans="1:7" ht="15" thickBot="1" x14ac:dyDescent="0.35">
      <c r="B31" s="21" t="s">
        <v>23</v>
      </c>
      <c r="C31" s="21" t="s">
        <v>24</v>
      </c>
      <c r="D31" s="21">
        <v>78</v>
      </c>
      <c r="E31" s="21" t="s">
        <v>42</v>
      </c>
      <c r="F31" s="21" t="s">
        <v>40</v>
      </c>
      <c r="G31" s="21">
        <v>78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8130-9E47-4447-937E-695C13BD291A}">
  <dimension ref="A1:H17"/>
  <sheetViews>
    <sheetView showGridLines="0" workbookViewId="0">
      <selection activeCell="B2" sqref="B2"/>
    </sheetView>
  </sheetViews>
  <sheetFormatPr baseColWidth="10" defaultColWidth="8.88671875" defaultRowHeight="14.4" x14ac:dyDescent="0.3"/>
  <cols>
    <col min="1" max="1" width="2.21875" customWidth="1"/>
    <col min="2" max="2" width="6.21875" bestFit="1" customWidth="1"/>
    <col min="3" max="3" width="22.109375" bestFit="1" customWidth="1"/>
    <col min="4" max="4" width="6" bestFit="1" customWidth="1"/>
    <col min="5" max="5" width="12" bestFit="1" customWidth="1"/>
    <col min="6" max="6" width="11.21875" bestFit="1" customWidth="1"/>
    <col min="7" max="7" width="9.77734375" bestFit="1" customWidth="1"/>
    <col min="8" max="8" width="12" bestFit="1" customWidth="1"/>
  </cols>
  <sheetData>
    <row r="1" spans="1:8" x14ac:dyDescent="0.3">
      <c r="A1" s="19" t="s">
        <v>43</v>
      </c>
    </row>
    <row r="2" spans="1:8" x14ac:dyDescent="0.3">
      <c r="A2" s="19" t="s">
        <v>1</v>
      </c>
    </row>
    <row r="3" spans="1:8" x14ac:dyDescent="0.3">
      <c r="A3" s="19"/>
    </row>
    <row r="6" spans="1:8" ht="15" thickBot="1" x14ac:dyDescent="0.35">
      <c r="A6" t="s">
        <v>18</v>
      </c>
    </row>
    <row r="7" spans="1:8" x14ac:dyDescent="0.3">
      <c r="B7" s="26"/>
      <c r="C7" s="26"/>
      <c r="D7" s="26" t="s">
        <v>44</v>
      </c>
      <c r="E7" s="26" t="s">
        <v>45</v>
      </c>
      <c r="F7" s="26" t="s">
        <v>46</v>
      </c>
      <c r="G7" s="26" t="s">
        <v>47</v>
      </c>
      <c r="H7" s="26" t="s">
        <v>47</v>
      </c>
    </row>
    <row r="8" spans="1:8" ht="15" thickBot="1" x14ac:dyDescent="0.35">
      <c r="B8" s="27" t="s">
        <v>12</v>
      </c>
      <c r="C8" s="27" t="s">
        <v>13</v>
      </c>
      <c r="D8" s="27" t="s">
        <v>48</v>
      </c>
      <c r="E8" s="27" t="s">
        <v>49</v>
      </c>
      <c r="F8" s="27" t="s">
        <v>50</v>
      </c>
      <c r="G8" s="27" t="s">
        <v>51</v>
      </c>
      <c r="H8" s="27" t="s">
        <v>52</v>
      </c>
    </row>
    <row r="9" spans="1:8" x14ac:dyDescent="0.3">
      <c r="B9" s="23" t="s">
        <v>20</v>
      </c>
      <c r="C9" s="23" t="s">
        <v>21</v>
      </c>
      <c r="D9" s="23">
        <v>122.00000000000001</v>
      </c>
      <c r="E9" s="23">
        <v>0</v>
      </c>
      <c r="F9" s="23">
        <v>350</v>
      </c>
      <c r="G9" s="23">
        <v>100.00000000000004</v>
      </c>
      <c r="H9" s="23">
        <v>49.999999999999993</v>
      </c>
    </row>
    <row r="10" spans="1:8" ht="15" thickBot="1" x14ac:dyDescent="0.35">
      <c r="B10" s="21" t="s">
        <v>23</v>
      </c>
      <c r="C10" s="21" t="s">
        <v>24</v>
      </c>
      <c r="D10" s="21">
        <v>77.999999999999986</v>
      </c>
      <c r="E10" s="21">
        <v>0</v>
      </c>
      <c r="F10" s="21">
        <v>300</v>
      </c>
      <c r="G10" s="21">
        <v>49.999999999999993</v>
      </c>
      <c r="H10" s="21">
        <v>66.666666666666686</v>
      </c>
    </row>
    <row r="12" spans="1:8" ht="15" thickBot="1" x14ac:dyDescent="0.35">
      <c r="A12" t="s">
        <v>25</v>
      </c>
    </row>
    <row r="13" spans="1:8" x14ac:dyDescent="0.3">
      <c r="B13" s="26"/>
      <c r="C13" s="26"/>
      <c r="D13" s="26" t="s">
        <v>44</v>
      </c>
      <c r="E13" s="26" t="s">
        <v>53</v>
      </c>
      <c r="F13" s="26" t="s">
        <v>54</v>
      </c>
      <c r="G13" s="26" t="s">
        <v>47</v>
      </c>
      <c r="H13" s="26" t="s">
        <v>47</v>
      </c>
    </row>
    <row r="14" spans="1:8" ht="15" thickBot="1" x14ac:dyDescent="0.35">
      <c r="B14" s="27" t="s">
        <v>12</v>
      </c>
      <c r="C14" s="27" t="s">
        <v>13</v>
      </c>
      <c r="D14" s="27" t="s">
        <v>48</v>
      </c>
      <c r="E14" s="27" t="s">
        <v>55</v>
      </c>
      <c r="F14" s="27" t="s">
        <v>56</v>
      </c>
      <c r="G14" s="27" t="s">
        <v>51</v>
      </c>
      <c r="H14" s="27" t="s">
        <v>52</v>
      </c>
    </row>
    <row r="15" spans="1:8" x14ac:dyDescent="0.3">
      <c r="B15" s="23" t="s">
        <v>30</v>
      </c>
      <c r="C15" s="23" t="s">
        <v>31</v>
      </c>
      <c r="D15" s="23">
        <v>200</v>
      </c>
      <c r="E15" s="23">
        <v>200.00000000000003</v>
      </c>
      <c r="F15" s="23">
        <v>200</v>
      </c>
      <c r="G15" s="23">
        <v>7.0000000000000062</v>
      </c>
      <c r="H15" s="23">
        <v>26</v>
      </c>
    </row>
    <row r="16" spans="1:8" x14ac:dyDescent="0.3">
      <c r="B16" s="23" t="s">
        <v>34</v>
      </c>
      <c r="C16" s="23" t="s">
        <v>35</v>
      </c>
      <c r="D16" s="23">
        <v>1566</v>
      </c>
      <c r="E16" s="23">
        <v>16.666666666666661</v>
      </c>
      <c r="F16" s="23">
        <v>1566</v>
      </c>
      <c r="G16" s="23">
        <v>234</v>
      </c>
      <c r="H16" s="23">
        <v>126.00000000000013</v>
      </c>
    </row>
    <row r="17" spans="2:8" ht="15" thickBot="1" x14ac:dyDescent="0.35">
      <c r="B17" s="21" t="s">
        <v>37</v>
      </c>
      <c r="C17" s="21" t="s">
        <v>38</v>
      </c>
      <c r="D17" s="21">
        <v>2712</v>
      </c>
      <c r="E17" s="21">
        <v>0</v>
      </c>
      <c r="F17" s="21">
        <v>2880</v>
      </c>
      <c r="G17" s="21">
        <v>1E+30</v>
      </c>
      <c r="H17" s="21">
        <v>168.00000000000011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57A0-2138-48C7-80E0-D3E5E39FC8D3}">
  <dimension ref="B3:S31"/>
  <sheetViews>
    <sheetView topLeftCell="A15" zoomScale="70" zoomScaleNormal="70" workbookViewId="0">
      <selection activeCell="F6" sqref="F6"/>
    </sheetView>
  </sheetViews>
  <sheetFormatPr baseColWidth="10" defaultColWidth="9.109375" defaultRowHeight="14.4" x14ac:dyDescent="0.3"/>
  <cols>
    <col min="1" max="1" width="2.88671875" style="1" customWidth="1"/>
    <col min="2" max="3" width="12.21875" style="1" bestFit="1" customWidth="1"/>
    <col min="4" max="4" width="10.5546875" style="1" bestFit="1" customWidth="1"/>
    <col min="5" max="5" width="9.88671875" style="1" bestFit="1" customWidth="1"/>
    <col min="6" max="6" width="12" style="1" bestFit="1" customWidth="1"/>
    <col min="7" max="7" width="14.5546875" style="1" bestFit="1" customWidth="1"/>
    <col min="8" max="9" width="8.5546875" style="1" bestFit="1" customWidth="1"/>
    <col min="10" max="10" width="11" style="1" bestFit="1" customWidth="1"/>
    <col min="11" max="11" width="14.44140625" style="1" bestFit="1" customWidth="1"/>
    <col min="12" max="13" width="9.5546875" style="1" bestFit="1" customWidth="1"/>
    <col min="14" max="14" width="12" style="1" bestFit="1" customWidth="1"/>
    <col min="15" max="15" width="15.44140625" style="1" bestFit="1" customWidth="1"/>
    <col min="16" max="17" width="8.5546875" style="1" bestFit="1" customWidth="1"/>
    <col min="18" max="18" width="11" style="1" bestFit="1" customWidth="1"/>
    <col min="19" max="16384" width="9.109375" style="1"/>
  </cols>
  <sheetData>
    <row r="3" spans="2:19" ht="21" x14ac:dyDescent="0.4">
      <c r="B3" s="32" t="s">
        <v>57</v>
      </c>
    </row>
    <row r="5" spans="2:19" x14ac:dyDescent="0.3">
      <c r="B5" s="28" t="s">
        <v>58</v>
      </c>
      <c r="C5" s="28" t="s">
        <v>59</v>
      </c>
      <c r="D5" s="29" t="s">
        <v>60</v>
      </c>
      <c r="E5" s="29" t="s">
        <v>61</v>
      </c>
      <c r="F5" s="29" t="s">
        <v>62</v>
      </c>
      <c r="G5" s="30" t="s">
        <v>63</v>
      </c>
      <c r="H5" s="31" t="s">
        <v>64</v>
      </c>
      <c r="I5" s="31" t="s">
        <v>65</v>
      </c>
      <c r="J5" s="31" t="s">
        <v>66</v>
      </c>
      <c r="K5" s="30" t="s">
        <v>67</v>
      </c>
      <c r="L5" s="33" t="s">
        <v>68</v>
      </c>
      <c r="M5" s="33" t="s">
        <v>69</v>
      </c>
      <c r="N5" s="33" t="s">
        <v>70</v>
      </c>
      <c r="O5" s="30" t="s">
        <v>71</v>
      </c>
      <c r="P5" s="34" t="s">
        <v>72</v>
      </c>
      <c r="Q5" s="34" t="s">
        <v>73</v>
      </c>
      <c r="R5" s="34" t="s">
        <v>74</v>
      </c>
    </row>
    <row r="6" spans="2:19" x14ac:dyDescent="0.3">
      <c r="B6" s="35">
        <v>122</v>
      </c>
      <c r="C6" s="35">
        <v>78</v>
      </c>
      <c r="D6" s="35">
        <f>B6*1</f>
        <v>122</v>
      </c>
      <c r="E6" s="35">
        <f>C6*1</f>
        <v>78</v>
      </c>
      <c r="F6" s="35">
        <f>D6+E6</f>
        <v>200</v>
      </c>
      <c r="G6" s="35">
        <v>200</v>
      </c>
      <c r="H6" s="35">
        <f>9*B6</f>
        <v>1098</v>
      </c>
      <c r="I6" s="35">
        <f>6*C6</f>
        <v>468</v>
      </c>
      <c r="J6" s="35">
        <f>H6+I6</f>
        <v>1566</v>
      </c>
      <c r="K6" s="35">
        <v>1566</v>
      </c>
      <c r="L6" s="35">
        <f>12*B6</f>
        <v>1464</v>
      </c>
      <c r="M6" s="35">
        <f>16*C6</f>
        <v>1248</v>
      </c>
      <c r="N6" s="35">
        <f>L6+M6</f>
        <v>2712</v>
      </c>
      <c r="O6" s="35">
        <v>2880</v>
      </c>
      <c r="P6" s="36">
        <f>B6*350</f>
        <v>42700</v>
      </c>
      <c r="Q6" s="36">
        <f>C6*300</f>
        <v>23400</v>
      </c>
      <c r="R6" s="36">
        <f>SUM(P6:Q6)</f>
        <v>66100</v>
      </c>
      <c r="S6" s="1" t="s">
        <v>75</v>
      </c>
    </row>
    <row r="7" spans="2:19" x14ac:dyDescent="0.3">
      <c r="B7" s="35">
        <v>112.00000000000001</v>
      </c>
      <c r="C7" s="35">
        <v>92.999999999999986</v>
      </c>
      <c r="D7" s="35">
        <f t="shared" ref="D7:D13" si="0">B7*1</f>
        <v>112.00000000000001</v>
      </c>
      <c r="E7" s="35">
        <f t="shared" ref="E7:E13" si="1">C7*1</f>
        <v>92.999999999999986</v>
      </c>
      <c r="F7" s="35">
        <f t="shared" ref="F7:F13" si="2">D7+E7</f>
        <v>205</v>
      </c>
      <c r="G7" s="35">
        <v>205</v>
      </c>
      <c r="H7" s="35">
        <f t="shared" ref="H7:H13" si="3">9*B7</f>
        <v>1008.0000000000001</v>
      </c>
      <c r="I7" s="35">
        <f t="shared" ref="I7:I13" si="4">6*C7</f>
        <v>557.99999999999989</v>
      </c>
      <c r="J7" s="35">
        <f t="shared" ref="J7:J13" si="5">H7+I7</f>
        <v>1566</v>
      </c>
      <c r="K7" s="35">
        <v>1566</v>
      </c>
      <c r="L7" s="35">
        <f t="shared" ref="L7:L13" si="6">12*B7</f>
        <v>1344.0000000000002</v>
      </c>
      <c r="M7" s="35">
        <f t="shared" ref="M7:M13" si="7">16*C7</f>
        <v>1487.9999999999998</v>
      </c>
      <c r="N7" s="35">
        <f t="shared" ref="N7:N13" si="8">L7+M7</f>
        <v>2832</v>
      </c>
      <c r="O7" s="35">
        <v>2880</v>
      </c>
      <c r="P7" s="36">
        <f t="shared" ref="P7:P13" si="9">B7*350</f>
        <v>39200.000000000007</v>
      </c>
      <c r="Q7" s="36">
        <f t="shared" ref="Q7:Q13" si="10">C7*300</f>
        <v>27899.999999999996</v>
      </c>
      <c r="R7" s="36">
        <f t="shared" ref="R7:R13" si="11">SUM(P7:Q7)</f>
        <v>67100</v>
      </c>
      <c r="S7" s="1" t="s">
        <v>76</v>
      </c>
    </row>
    <row r="8" spans="2:19" x14ac:dyDescent="0.3">
      <c r="B8" s="35">
        <v>108</v>
      </c>
      <c r="C8" s="35">
        <v>99</v>
      </c>
      <c r="D8" s="35">
        <f t="shared" si="0"/>
        <v>108</v>
      </c>
      <c r="E8" s="35">
        <f t="shared" si="1"/>
        <v>99</v>
      </c>
      <c r="F8" s="35">
        <f t="shared" si="2"/>
        <v>207</v>
      </c>
      <c r="G8" s="35">
        <v>210</v>
      </c>
      <c r="H8" s="35">
        <f t="shared" si="3"/>
        <v>972</v>
      </c>
      <c r="I8" s="35">
        <f t="shared" si="4"/>
        <v>594</v>
      </c>
      <c r="J8" s="35">
        <f t="shared" si="5"/>
        <v>1566</v>
      </c>
      <c r="K8" s="35">
        <v>1566</v>
      </c>
      <c r="L8" s="35">
        <f t="shared" si="6"/>
        <v>1296</v>
      </c>
      <c r="M8" s="35">
        <f t="shared" si="7"/>
        <v>1584</v>
      </c>
      <c r="N8" s="35">
        <f t="shared" si="8"/>
        <v>2880</v>
      </c>
      <c r="O8" s="35">
        <v>2880</v>
      </c>
      <c r="P8" s="36">
        <f t="shared" si="9"/>
        <v>37800</v>
      </c>
      <c r="Q8" s="36">
        <f t="shared" si="10"/>
        <v>29700</v>
      </c>
      <c r="R8" s="36">
        <f t="shared" si="11"/>
        <v>67500</v>
      </c>
      <c r="S8" s="1" t="s">
        <v>77</v>
      </c>
    </row>
    <row r="9" spans="2:19" x14ac:dyDescent="0.3">
      <c r="B9" s="35">
        <v>108</v>
      </c>
      <c r="C9" s="35">
        <v>99</v>
      </c>
      <c r="D9" s="35">
        <f t="shared" si="0"/>
        <v>108</v>
      </c>
      <c r="E9" s="35">
        <f t="shared" si="1"/>
        <v>99</v>
      </c>
      <c r="F9" s="35">
        <f t="shared" si="2"/>
        <v>207</v>
      </c>
      <c r="G9" s="35">
        <v>215</v>
      </c>
      <c r="H9" s="35">
        <f t="shared" si="3"/>
        <v>972</v>
      </c>
      <c r="I9" s="35">
        <f t="shared" si="4"/>
        <v>594</v>
      </c>
      <c r="J9" s="35">
        <f t="shared" si="5"/>
        <v>1566</v>
      </c>
      <c r="K9" s="35">
        <v>1566</v>
      </c>
      <c r="L9" s="35">
        <f t="shared" si="6"/>
        <v>1296</v>
      </c>
      <c r="M9" s="35">
        <f t="shared" si="7"/>
        <v>1584</v>
      </c>
      <c r="N9" s="35">
        <f t="shared" si="8"/>
        <v>2880</v>
      </c>
      <c r="O9" s="35">
        <v>2880</v>
      </c>
      <c r="P9" s="36">
        <f t="shared" si="9"/>
        <v>37800</v>
      </c>
      <c r="Q9" s="36">
        <f t="shared" si="10"/>
        <v>29700</v>
      </c>
      <c r="R9" s="36">
        <f t="shared" si="11"/>
        <v>67500</v>
      </c>
      <c r="S9" s="1" t="s">
        <v>78</v>
      </c>
    </row>
    <row r="10" spans="2:19" x14ac:dyDescent="0.3">
      <c r="B10" s="37">
        <v>166.66666666666666</v>
      </c>
      <c r="C10" s="37">
        <v>33.333333333333336</v>
      </c>
      <c r="D10" s="37">
        <f t="shared" si="0"/>
        <v>166.66666666666666</v>
      </c>
      <c r="E10" s="37">
        <f t="shared" si="1"/>
        <v>33.333333333333336</v>
      </c>
      <c r="F10" s="13">
        <f t="shared" si="2"/>
        <v>200</v>
      </c>
      <c r="G10" s="13">
        <v>200</v>
      </c>
      <c r="H10" s="13">
        <f t="shared" si="3"/>
        <v>1500</v>
      </c>
      <c r="I10" s="13">
        <f t="shared" si="4"/>
        <v>200</v>
      </c>
      <c r="J10" s="13">
        <f t="shared" si="5"/>
        <v>1700</v>
      </c>
      <c r="K10" s="13">
        <v>1700</v>
      </c>
      <c r="L10" s="13">
        <f t="shared" si="6"/>
        <v>2000</v>
      </c>
      <c r="M10" s="37">
        <f t="shared" si="7"/>
        <v>533.33333333333337</v>
      </c>
      <c r="N10" s="37">
        <f t="shared" si="8"/>
        <v>2533.3333333333335</v>
      </c>
      <c r="O10" s="13">
        <v>2880</v>
      </c>
      <c r="P10" s="20">
        <f t="shared" si="9"/>
        <v>58333.333333333328</v>
      </c>
      <c r="Q10" s="20">
        <f t="shared" si="10"/>
        <v>10000</v>
      </c>
      <c r="R10" s="20">
        <f t="shared" si="11"/>
        <v>68333.333333333328</v>
      </c>
      <c r="S10" s="1" t="s">
        <v>79</v>
      </c>
    </row>
    <row r="11" spans="2:19" x14ac:dyDescent="0.3">
      <c r="B11" s="13">
        <v>200</v>
      </c>
      <c r="C11" s="13">
        <v>0</v>
      </c>
      <c r="D11" s="13">
        <f t="shared" si="0"/>
        <v>200</v>
      </c>
      <c r="E11" s="13">
        <f t="shared" si="1"/>
        <v>0</v>
      </c>
      <c r="F11" s="13">
        <f t="shared" si="2"/>
        <v>200</v>
      </c>
      <c r="G11" s="13">
        <v>200</v>
      </c>
      <c r="H11" s="13">
        <f t="shared" si="3"/>
        <v>1800</v>
      </c>
      <c r="I11" s="13">
        <f t="shared" si="4"/>
        <v>0</v>
      </c>
      <c r="J11" s="13">
        <f t="shared" si="5"/>
        <v>1800</v>
      </c>
      <c r="K11" s="13">
        <v>1900</v>
      </c>
      <c r="L11" s="13">
        <f t="shared" si="6"/>
        <v>2400</v>
      </c>
      <c r="M11" s="13">
        <f t="shared" si="7"/>
        <v>0</v>
      </c>
      <c r="N11" s="13">
        <f t="shared" si="8"/>
        <v>2400</v>
      </c>
      <c r="O11" s="13">
        <v>2880</v>
      </c>
      <c r="P11" s="20">
        <f t="shared" si="9"/>
        <v>70000</v>
      </c>
      <c r="Q11" s="20">
        <f t="shared" si="10"/>
        <v>0</v>
      </c>
      <c r="R11" s="20">
        <f t="shared" si="11"/>
        <v>70000</v>
      </c>
      <c r="S11" s="1" t="s">
        <v>80</v>
      </c>
    </row>
    <row r="12" spans="2:19" x14ac:dyDescent="0.3">
      <c r="B12" s="13">
        <v>200</v>
      </c>
      <c r="C12" s="13">
        <v>0</v>
      </c>
      <c r="D12" s="13">
        <f t="shared" si="0"/>
        <v>200</v>
      </c>
      <c r="E12" s="13">
        <f t="shared" si="1"/>
        <v>0</v>
      </c>
      <c r="F12" s="13">
        <f t="shared" si="2"/>
        <v>200</v>
      </c>
      <c r="G12" s="13">
        <v>200</v>
      </c>
      <c r="H12" s="13">
        <f t="shared" si="3"/>
        <v>1800</v>
      </c>
      <c r="I12" s="13">
        <f t="shared" si="4"/>
        <v>0</v>
      </c>
      <c r="J12" s="13">
        <f t="shared" si="5"/>
        <v>1800</v>
      </c>
      <c r="K12" s="13">
        <v>2100</v>
      </c>
      <c r="L12" s="13">
        <f t="shared" si="6"/>
        <v>2400</v>
      </c>
      <c r="M12" s="13">
        <f t="shared" si="7"/>
        <v>0</v>
      </c>
      <c r="N12" s="13">
        <f t="shared" si="8"/>
        <v>2400</v>
      </c>
      <c r="O12" s="13">
        <v>2880</v>
      </c>
      <c r="P12" s="20">
        <f t="shared" si="9"/>
        <v>70000</v>
      </c>
      <c r="Q12" s="20">
        <f t="shared" si="10"/>
        <v>0</v>
      </c>
      <c r="R12" s="20">
        <f t="shared" si="11"/>
        <v>70000</v>
      </c>
    </row>
    <row r="13" spans="2:19" x14ac:dyDescent="0.3">
      <c r="B13" s="13">
        <v>200</v>
      </c>
      <c r="C13" s="13">
        <v>0</v>
      </c>
      <c r="D13" s="13">
        <f t="shared" si="0"/>
        <v>200</v>
      </c>
      <c r="E13" s="13">
        <f t="shared" si="1"/>
        <v>0</v>
      </c>
      <c r="F13" s="13">
        <f t="shared" si="2"/>
        <v>200</v>
      </c>
      <c r="G13" s="13">
        <v>200</v>
      </c>
      <c r="H13" s="13">
        <f t="shared" si="3"/>
        <v>1800</v>
      </c>
      <c r="I13" s="13">
        <f t="shared" si="4"/>
        <v>0</v>
      </c>
      <c r="J13" s="13">
        <f t="shared" si="5"/>
        <v>1800</v>
      </c>
      <c r="K13" s="13">
        <v>2300</v>
      </c>
      <c r="L13" s="13">
        <f t="shared" si="6"/>
        <v>2400</v>
      </c>
      <c r="M13" s="13">
        <f t="shared" si="7"/>
        <v>0</v>
      </c>
      <c r="N13" s="13">
        <f t="shared" si="8"/>
        <v>2400</v>
      </c>
      <c r="O13" s="13">
        <v>2880</v>
      </c>
      <c r="P13" s="20">
        <f t="shared" si="9"/>
        <v>70000</v>
      </c>
      <c r="Q13" s="20">
        <f t="shared" si="10"/>
        <v>0</v>
      </c>
      <c r="R13" s="20">
        <f t="shared" si="11"/>
        <v>70000</v>
      </c>
    </row>
    <row r="14" spans="2:19" x14ac:dyDescent="0.3">
      <c r="B14" s="35">
        <v>122.00000000000001</v>
      </c>
      <c r="C14" s="35">
        <v>77.999999999999986</v>
      </c>
      <c r="D14" s="35">
        <f t="shared" ref="D14:D17" si="12">B14*1</f>
        <v>122.00000000000001</v>
      </c>
      <c r="E14" s="35">
        <f t="shared" ref="E14:E17" si="13">C14*1</f>
        <v>77.999999999999986</v>
      </c>
      <c r="F14" s="35">
        <f t="shared" ref="F14:F17" si="14">D14+E14</f>
        <v>200</v>
      </c>
      <c r="G14" s="35">
        <v>200</v>
      </c>
      <c r="H14" s="35">
        <f t="shared" ref="H14:H17" si="15">9*B14</f>
        <v>1098.0000000000002</v>
      </c>
      <c r="I14" s="35">
        <f t="shared" ref="I14:I17" si="16">6*C14</f>
        <v>467.99999999999989</v>
      </c>
      <c r="J14" s="35">
        <f t="shared" ref="J14:J17" si="17">H14+I14</f>
        <v>1566</v>
      </c>
      <c r="K14" s="35">
        <v>1566</v>
      </c>
      <c r="L14" s="35">
        <f t="shared" ref="L14:L17" si="18">12*B14</f>
        <v>1464.0000000000002</v>
      </c>
      <c r="M14" s="35">
        <f t="shared" ref="M14:M17" si="19">16*C14</f>
        <v>1247.9999999999998</v>
      </c>
      <c r="N14" s="35">
        <f t="shared" ref="N14:N17" si="20">L14+M14</f>
        <v>2712</v>
      </c>
      <c r="O14" s="35">
        <v>3500</v>
      </c>
      <c r="P14" s="36">
        <f t="shared" ref="P14:P17" si="21">B14*350</f>
        <v>42700.000000000007</v>
      </c>
      <c r="Q14" s="36">
        <f t="shared" ref="Q14:Q17" si="22">C14*300</f>
        <v>23399.999999999996</v>
      </c>
      <c r="R14" s="36">
        <f t="shared" ref="R14:R17" si="23">SUM(P14:Q14)</f>
        <v>66100</v>
      </c>
      <c r="S14" s="1" t="s">
        <v>81</v>
      </c>
    </row>
    <row r="15" spans="2:19" x14ac:dyDescent="0.3">
      <c r="B15" s="35">
        <v>122.00000000000001</v>
      </c>
      <c r="C15" s="35">
        <v>77.999999999999986</v>
      </c>
      <c r="D15" s="35">
        <f t="shared" si="12"/>
        <v>122.00000000000001</v>
      </c>
      <c r="E15" s="35">
        <f t="shared" si="13"/>
        <v>77.999999999999986</v>
      </c>
      <c r="F15" s="35">
        <f t="shared" si="14"/>
        <v>200</v>
      </c>
      <c r="G15" s="35">
        <v>200</v>
      </c>
      <c r="H15" s="35">
        <f t="shared" si="15"/>
        <v>1098.0000000000002</v>
      </c>
      <c r="I15" s="35">
        <f t="shared" si="16"/>
        <v>467.99999999999989</v>
      </c>
      <c r="J15" s="35">
        <f t="shared" si="17"/>
        <v>1566</v>
      </c>
      <c r="K15" s="35">
        <v>1566</v>
      </c>
      <c r="L15" s="35">
        <f t="shared" si="18"/>
        <v>1464.0000000000002</v>
      </c>
      <c r="M15" s="35">
        <f t="shared" si="19"/>
        <v>1247.9999999999998</v>
      </c>
      <c r="N15" s="35">
        <f t="shared" si="20"/>
        <v>2712</v>
      </c>
      <c r="O15" s="35">
        <v>4000</v>
      </c>
      <c r="P15" s="36">
        <f t="shared" si="21"/>
        <v>42700.000000000007</v>
      </c>
      <c r="Q15" s="36">
        <f t="shared" si="22"/>
        <v>23399.999999999996</v>
      </c>
      <c r="R15" s="36">
        <f t="shared" si="23"/>
        <v>66100</v>
      </c>
    </row>
    <row r="16" spans="2:19" x14ac:dyDescent="0.3">
      <c r="B16" s="35">
        <v>122.00000000000001</v>
      </c>
      <c r="C16" s="35">
        <v>77.999999999999986</v>
      </c>
      <c r="D16" s="35">
        <f t="shared" si="12"/>
        <v>122.00000000000001</v>
      </c>
      <c r="E16" s="35">
        <f t="shared" si="13"/>
        <v>77.999999999999986</v>
      </c>
      <c r="F16" s="35">
        <f t="shared" si="14"/>
        <v>200</v>
      </c>
      <c r="G16" s="35">
        <v>200</v>
      </c>
      <c r="H16" s="35">
        <f t="shared" si="15"/>
        <v>1098.0000000000002</v>
      </c>
      <c r="I16" s="35">
        <f t="shared" si="16"/>
        <v>467.99999999999989</v>
      </c>
      <c r="J16" s="35">
        <f t="shared" si="17"/>
        <v>1566</v>
      </c>
      <c r="K16" s="35">
        <v>1566</v>
      </c>
      <c r="L16" s="35">
        <f t="shared" si="18"/>
        <v>1464.0000000000002</v>
      </c>
      <c r="M16" s="35">
        <f t="shared" si="19"/>
        <v>1247.9999999999998</v>
      </c>
      <c r="N16" s="35">
        <f t="shared" si="20"/>
        <v>2712</v>
      </c>
      <c r="O16" s="35">
        <v>5000</v>
      </c>
      <c r="P16" s="36">
        <f t="shared" si="21"/>
        <v>42700.000000000007</v>
      </c>
      <c r="Q16" s="36">
        <f t="shared" si="22"/>
        <v>23399.999999999996</v>
      </c>
      <c r="R16" s="36">
        <f t="shared" si="23"/>
        <v>66100</v>
      </c>
    </row>
    <row r="17" spans="2:18" x14ac:dyDescent="0.3">
      <c r="B17" s="35">
        <v>122.00000000000001</v>
      </c>
      <c r="C17" s="35">
        <v>77.999999999999986</v>
      </c>
      <c r="D17" s="35">
        <f t="shared" si="12"/>
        <v>122.00000000000001</v>
      </c>
      <c r="E17" s="35">
        <f t="shared" si="13"/>
        <v>77.999999999999986</v>
      </c>
      <c r="F17" s="35">
        <f t="shared" si="14"/>
        <v>200</v>
      </c>
      <c r="G17" s="35">
        <v>200</v>
      </c>
      <c r="H17" s="35">
        <f t="shared" si="15"/>
        <v>1098.0000000000002</v>
      </c>
      <c r="I17" s="35">
        <f t="shared" si="16"/>
        <v>467.99999999999989</v>
      </c>
      <c r="J17" s="35">
        <f t="shared" si="17"/>
        <v>1566</v>
      </c>
      <c r="K17" s="35">
        <v>1566</v>
      </c>
      <c r="L17" s="35">
        <f t="shared" si="18"/>
        <v>1464.0000000000002</v>
      </c>
      <c r="M17" s="35">
        <f t="shared" si="19"/>
        <v>1247.9999999999998</v>
      </c>
      <c r="N17" s="35">
        <f t="shared" si="20"/>
        <v>2712</v>
      </c>
      <c r="O17" s="35">
        <v>6000</v>
      </c>
      <c r="P17" s="36">
        <f t="shared" si="21"/>
        <v>42700.000000000007</v>
      </c>
      <c r="Q17" s="36">
        <f t="shared" si="22"/>
        <v>23399.999999999996</v>
      </c>
      <c r="R17" s="36">
        <f t="shared" si="23"/>
        <v>66100</v>
      </c>
    </row>
    <row r="27" spans="2:18" x14ac:dyDescent="0.3">
      <c r="C27" s="38" t="s">
        <v>63</v>
      </c>
      <c r="D27" s="39" t="s">
        <v>67</v>
      </c>
      <c r="E27" s="38" t="s">
        <v>82</v>
      </c>
    </row>
    <row r="28" spans="2:18" x14ac:dyDescent="0.3">
      <c r="C28" s="36">
        <v>66100</v>
      </c>
      <c r="D28" s="20">
        <v>68333.333333333328</v>
      </c>
      <c r="E28" s="36">
        <v>66100</v>
      </c>
    </row>
    <row r="29" spans="2:18" x14ac:dyDescent="0.3">
      <c r="C29" s="36">
        <v>67100</v>
      </c>
      <c r="D29" s="20">
        <v>70000</v>
      </c>
      <c r="E29" s="36">
        <v>66100</v>
      </c>
    </row>
    <row r="30" spans="2:18" x14ac:dyDescent="0.3">
      <c r="C30" s="36">
        <v>67500</v>
      </c>
      <c r="D30" s="20">
        <v>70000</v>
      </c>
      <c r="E30" s="36">
        <v>66100</v>
      </c>
    </row>
    <row r="31" spans="2:18" x14ac:dyDescent="0.3">
      <c r="C31" s="36">
        <v>67500</v>
      </c>
      <c r="D31" s="20">
        <v>70000</v>
      </c>
      <c r="E31" s="36">
        <v>66100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811A-9175-450C-BB35-F999B0FD984A}">
  <dimension ref="A1:G32"/>
  <sheetViews>
    <sheetView showGridLines="0" topLeftCell="A11" workbookViewId="0"/>
  </sheetViews>
  <sheetFormatPr baseColWidth="10" defaultRowHeight="14.4" x14ac:dyDescent="0.3"/>
  <cols>
    <col min="1" max="1" width="2.33203125" customWidth="1"/>
    <col min="2" max="2" width="18.5546875" bestFit="1" customWidth="1"/>
    <col min="3" max="3" width="19.77734375" bestFit="1" customWidth="1"/>
    <col min="4" max="4" width="14.6640625" bestFit="1" customWidth="1"/>
    <col min="5" max="5" width="12" bestFit="1" customWidth="1"/>
    <col min="6" max="6" width="11.88671875" bestFit="1" customWidth="1"/>
    <col min="7" max="7" width="7.5546875" bestFit="1" customWidth="1"/>
  </cols>
  <sheetData>
    <row r="1" spans="1:5" x14ac:dyDescent="0.3">
      <c r="A1" s="19" t="s">
        <v>94</v>
      </c>
    </row>
    <row r="2" spans="1:5" x14ac:dyDescent="0.3">
      <c r="A2" s="19" t="s">
        <v>95</v>
      </c>
    </row>
    <row r="3" spans="1:5" x14ac:dyDescent="0.3">
      <c r="A3" s="19" t="s">
        <v>96</v>
      </c>
    </row>
    <row r="4" spans="1:5" x14ac:dyDescent="0.3">
      <c r="A4" s="19" t="s">
        <v>97</v>
      </c>
    </row>
    <row r="5" spans="1:5" x14ac:dyDescent="0.3">
      <c r="A5" s="19" t="s">
        <v>98</v>
      </c>
    </row>
    <row r="6" spans="1:5" x14ac:dyDescent="0.3">
      <c r="A6" s="19"/>
      <c r="B6" t="s">
        <v>99</v>
      </c>
    </row>
    <row r="7" spans="1:5" x14ac:dyDescent="0.3">
      <c r="A7" s="19"/>
      <c r="B7" t="s">
        <v>100</v>
      </c>
    </row>
    <row r="8" spans="1:5" x14ac:dyDescent="0.3">
      <c r="A8" s="19"/>
      <c r="B8" t="s">
        <v>101</v>
      </c>
    </row>
    <row r="9" spans="1:5" x14ac:dyDescent="0.3">
      <c r="A9" s="19" t="s">
        <v>102</v>
      </c>
    </row>
    <row r="10" spans="1:5" x14ac:dyDescent="0.3">
      <c r="B10" t="s">
        <v>103</v>
      </c>
    </row>
    <row r="11" spans="1:5" x14ac:dyDescent="0.3">
      <c r="B11" t="s">
        <v>104</v>
      </c>
    </row>
    <row r="14" spans="1:5" ht="15" thickBot="1" x14ac:dyDescent="0.35">
      <c r="A14" t="s">
        <v>105</v>
      </c>
    </row>
    <row r="15" spans="1:5" ht="15" thickBot="1" x14ac:dyDescent="0.35">
      <c r="B15" s="50" t="s">
        <v>106</v>
      </c>
      <c r="C15" s="50" t="s">
        <v>107</v>
      </c>
      <c r="D15" s="50" t="s">
        <v>108</v>
      </c>
      <c r="E15" s="50" t="s">
        <v>109</v>
      </c>
    </row>
    <row r="16" spans="1:5" ht="15" thickBot="1" x14ac:dyDescent="0.35">
      <c r="B16" s="49" t="s">
        <v>16</v>
      </c>
      <c r="C16" s="49" t="s">
        <v>17</v>
      </c>
      <c r="D16" s="52">
        <v>66100</v>
      </c>
      <c r="E16" s="52">
        <v>66100</v>
      </c>
    </row>
    <row r="19" spans="1:7" ht="15" thickBot="1" x14ac:dyDescent="0.35">
      <c r="A19" t="s">
        <v>110</v>
      </c>
    </row>
    <row r="20" spans="1:7" ht="15" thickBot="1" x14ac:dyDescent="0.35">
      <c r="B20" s="50" t="s">
        <v>106</v>
      </c>
      <c r="C20" s="50" t="s">
        <v>107</v>
      </c>
      <c r="D20" s="50" t="s">
        <v>108</v>
      </c>
      <c r="E20" s="50" t="s">
        <v>109</v>
      </c>
      <c r="F20" s="50" t="s">
        <v>111</v>
      </c>
    </row>
    <row r="21" spans="1:7" x14ac:dyDescent="0.3">
      <c r="B21" s="51" t="s">
        <v>20</v>
      </c>
      <c r="C21" s="51" t="s">
        <v>21</v>
      </c>
      <c r="D21" s="53">
        <v>122.00000000000001</v>
      </c>
      <c r="E21" s="53">
        <v>122.00000000000001</v>
      </c>
      <c r="F21" s="51" t="s">
        <v>111</v>
      </c>
    </row>
    <row r="22" spans="1:7" ht="15" thickBot="1" x14ac:dyDescent="0.35">
      <c r="B22" s="49" t="s">
        <v>23</v>
      </c>
      <c r="C22" s="49" t="s">
        <v>24</v>
      </c>
      <c r="D22" s="54">
        <v>77.999999999999986</v>
      </c>
      <c r="E22" s="54">
        <v>77.999999999999986</v>
      </c>
      <c r="F22" s="49" t="s">
        <v>111</v>
      </c>
    </row>
    <row r="25" spans="1:7" ht="15" thickBot="1" x14ac:dyDescent="0.35">
      <c r="A25" t="s">
        <v>112</v>
      </c>
    </row>
    <row r="26" spans="1:7" ht="15" thickBot="1" x14ac:dyDescent="0.35">
      <c r="B26" s="50" t="s">
        <v>106</v>
      </c>
      <c r="C26" s="50" t="s">
        <v>107</v>
      </c>
      <c r="D26" s="50" t="s">
        <v>113</v>
      </c>
      <c r="E26" s="50" t="s">
        <v>114</v>
      </c>
      <c r="F26" s="50" t="s">
        <v>115</v>
      </c>
      <c r="G26" s="50" t="s">
        <v>116</v>
      </c>
    </row>
    <row r="27" spans="1:7" x14ac:dyDescent="0.3">
      <c r="B27" s="51" t="s">
        <v>30</v>
      </c>
      <c r="C27" s="51" t="s">
        <v>31</v>
      </c>
      <c r="D27" s="55">
        <v>200</v>
      </c>
      <c r="E27" s="51" t="s">
        <v>32</v>
      </c>
      <c r="F27" s="51" t="s">
        <v>117</v>
      </c>
      <c r="G27" s="51">
        <v>0</v>
      </c>
    </row>
    <row r="28" spans="1:7" x14ac:dyDescent="0.3">
      <c r="B28" s="51" t="s">
        <v>34</v>
      </c>
      <c r="C28" s="51" t="s">
        <v>35</v>
      </c>
      <c r="D28" s="55">
        <v>1566</v>
      </c>
      <c r="E28" s="51" t="s">
        <v>36</v>
      </c>
      <c r="F28" s="51" t="s">
        <v>117</v>
      </c>
      <c r="G28" s="51">
        <v>0</v>
      </c>
    </row>
    <row r="29" spans="1:7" x14ac:dyDescent="0.3">
      <c r="B29" s="51" t="s">
        <v>37</v>
      </c>
      <c r="C29" s="51" t="s">
        <v>38</v>
      </c>
      <c r="D29" s="55">
        <v>2712</v>
      </c>
      <c r="E29" s="51" t="s">
        <v>39</v>
      </c>
      <c r="F29" s="51" t="s">
        <v>118</v>
      </c>
      <c r="G29" s="51">
        <v>168</v>
      </c>
    </row>
    <row r="30" spans="1:7" x14ac:dyDescent="0.3">
      <c r="B30" s="51" t="s">
        <v>20</v>
      </c>
      <c r="C30" s="51" t="s">
        <v>21</v>
      </c>
      <c r="D30" s="53">
        <v>122.00000000000001</v>
      </c>
      <c r="E30" s="51" t="s">
        <v>41</v>
      </c>
      <c r="F30" s="51" t="s">
        <v>118</v>
      </c>
      <c r="G30" s="53">
        <v>122.00000000000001</v>
      </c>
    </row>
    <row r="31" spans="1:7" x14ac:dyDescent="0.3">
      <c r="B31" s="51" t="s">
        <v>23</v>
      </c>
      <c r="C31" s="51" t="s">
        <v>24</v>
      </c>
      <c r="D31" s="53">
        <v>77.999999999999986</v>
      </c>
      <c r="E31" s="51" t="s">
        <v>42</v>
      </c>
      <c r="F31" s="51" t="s">
        <v>118</v>
      </c>
      <c r="G31" s="53">
        <v>77.999999999999986</v>
      </c>
    </row>
    <row r="32" spans="1:7" ht="15" thickBot="1" x14ac:dyDescent="0.35">
      <c r="B32" s="49" t="s">
        <v>119</v>
      </c>
      <c r="C32" s="49"/>
      <c r="D32" s="49"/>
      <c r="E32" s="49"/>
      <c r="F32" s="49"/>
      <c r="G32" s="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18B4-EFEC-4A34-BB02-8C1D52ADF3BB}">
  <dimension ref="A1:H17"/>
  <sheetViews>
    <sheetView showGridLines="0" tabSelected="1" workbookViewId="0"/>
  </sheetViews>
  <sheetFormatPr baseColWidth="10" defaultRowHeight="14.4" x14ac:dyDescent="0.3"/>
  <cols>
    <col min="1" max="1" width="2.33203125" customWidth="1"/>
    <col min="2" max="2" width="6.33203125" bestFit="1" customWidth="1"/>
    <col min="3" max="3" width="19.77734375" bestFit="1" customWidth="1"/>
    <col min="4" max="4" width="5.33203125" bestFit="1" customWidth="1"/>
    <col min="5" max="5" width="12" bestFit="1" customWidth="1"/>
    <col min="6" max="6" width="12.109375" bestFit="1" customWidth="1"/>
    <col min="7" max="7" width="10.109375" bestFit="1" customWidth="1"/>
    <col min="8" max="8" width="12" bestFit="1" customWidth="1"/>
  </cols>
  <sheetData>
    <row r="1" spans="1:8" x14ac:dyDescent="0.3">
      <c r="A1" s="19" t="s">
        <v>120</v>
      </c>
    </row>
    <row r="2" spans="1:8" x14ac:dyDescent="0.3">
      <c r="A2" s="19" t="s">
        <v>95</v>
      </c>
    </row>
    <row r="3" spans="1:8" x14ac:dyDescent="0.3">
      <c r="A3" s="19" t="s">
        <v>96</v>
      </c>
    </row>
    <row r="6" spans="1:8" ht="15" thickBot="1" x14ac:dyDescent="0.35">
      <c r="A6" t="s">
        <v>110</v>
      </c>
    </row>
    <row r="7" spans="1:8" x14ac:dyDescent="0.3">
      <c r="B7" s="56"/>
      <c r="C7" s="56"/>
      <c r="D7" s="56" t="s">
        <v>44</v>
      </c>
      <c r="E7" s="56" t="s">
        <v>122</v>
      </c>
      <c r="F7" s="56" t="s">
        <v>124</v>
      </c>
      <c r="G7" s="56" t="s">
        <v>126</v>
      </c>
      <c r="H7" s="56" t="s">
        <v>126</v>
      </c>
    </row>
    <row r="8" spans="1:8" ht="15" thickBot="1" x14ac:dyDescent="0.35">
      <c r="B8" s="57" t="s">
        <v>106</v>
      </c>
      <c r="C8" s="57" t="s">
        <v>107</v>
      </c>
      <c r="D8" s="57" t="s">
        <v>121</v>
      </c>
      <c r="E8" s="57" t="s">
        <v>123</v>
      </c>
      <c r="F8" s="57" t="s">
        <v>125</v>
      </c>
      <c r="G8" s="57" t="s">
        <v>127</v>
      </c>
      <c r="H8" s="57" t="s">
        <v>128</v>
      </c>
    </row>
    <row r="9" spans="1:8" x14ac:dyDescent="0.3">
      <c r="B9" s="51" t="s">
        <v>20</v>
      </c>
      <c r="C9" s="51" t="s">
        <v>21</v>
      </c>
      <c r="D9" s="51">
        <v>122.00000000000001</v>
      </c>
      <c r="E9" s="51">
        <v>0</v>
      </c>
      <c r="F9" s="51">
        <v>350</v>
      </c>
      <c r="G9" s="51">
        <v>100.00000000000004</v>
      </c>
      <c r="H9" s="51">
        <v>49.999999999999993</v>
      </c>
    </row>
    <row r="10" spans="1:8" ht="15" thickBot="1" x14ac:dyDescent="0.35">
      <c r="B10" s="49" t="s">
        <v>23</v>
      </c>
      <c r="C10" s="49" t="s">
        <v>24</v>
      </c>
      <c r="D10" s="49">
        <v>77.999999999999986</v>
      </c>
      <c r="E10" s="49">
        <v>0</v>
      </c>
      <c r="F10" s="49">
        <v>300</v>
      </c>
      <c r="G10" s="49">
        <v>49.999999999999993</v>
      </c>
      <c r="H10" s="49">
        <v>66.666666666666686</v>
      </c>
    </row>
    <row r="12" spans="1:8" ht="15" thickBot="1" x14ac:dyDescent="0.35">
      <c r="A12" t="s">
        <v>112</v>
      </c>
    </row>
    <row r="13" spans="1:8" x14ac:dyDescent="0.3">
      <c r="B13" s="56"/>
      <c r="C13" s="56"/>
      <c r="D13" s="56" t="s">
        <v>44</v>
      </c>
      <c r="E13" s="56" t="s">
        <v>129</v>
      </c>
      <c r="F13" s="56" t="s">
        <v>131</v>
      </c>
      <c r="G13" s="56" t="s">
        <v>126</v>
      </c>
      <c r="H13" s="56" t="s">
        <v>126</v>
      </c>
    </row>
    <row r="14" spans="1:8" ht="15" thickBot="1" x14ac:dyDescent="0.35">
      <c r="B14" s="57" t="s">
        <v>106</v>
      </c>
      <c r="C14" s="57" t="s">
        <v>107</v>
      </c>
      <c r="D14" s="57" t="s">
        <v>121</v>
      </c>
      <c r="E14" s="57" t="s">
        <v>130</v>
      </c>
      <c r="F14" s="57" t="s">
        <v>132</v>
      </c>
      <c r="G14" s="57" t="s">
        <v>127</v>
      </c>
      <c r="H14" s="57" t="s">
        <v>128</v>
      </c>
    </row>
    <row r="15" spans="1:8" x14ac:dyDescent="0.3">
      <c r="B15" s="51" t="s">
        <v>30</v>
      </c>
      <c r="C15" s="51" t="s">
        <v>31</v>
      </c>
      <c r="D15" s="51">
        <v>200</v>
      </c>
      <c r="E15" s="51">
        <v>200.00000000000003</v>
      </c>
      <c r="F15" s="51">
        <v>200</v>
      </c>
      <c r="G15" s="51">
        <v>7.0000000000000062</v>
      </c>
      <c r="H15" s="51">
        <v>26</v>
      </c>
    </row>
    <row r="16" spans="1:8" x14ac:dyDescent="0.3">
      <c r="B16" s="51" t="s">
        <v>34</v>
      </c>
      <c r="C16" s="51" t="s">
        <v>35</v>
      </c>
      <c r="D16" s="51">
        <v>1566</v>
      </c>
      <c r="E16" s="51">
        <v>16.666666666666661</v>
      </c>
      <c r="F16" s="51">
        <v>1566</v>
      </c>
      <c r="G16" s="51">
        <v>234</v>
      </c>
      <c r="H16" s="51">
        <v>126.00000000000013</v>
      </c>
    </row>
    <row r="17" spans="2:8" ht="15" thickBot="1" x14ac:dyDescent="0.35">
      <c r="B17" s="49" t="s">
        <v>37</v>
      </c>
      <c r="C17" s="49" t="s">
        <v>38</v>
      </c>
      <c r="D17" s="49">
        <v>2712</v>
      </c>
      <c r="E17" s="49">
        <v>0</v>
      </c>
      <c r="F17" s="49">
        <v>2880</v>
      </c>
      <c r="G17" s="49">
        <v>1E+30</v>
      </c>
      <c r="H17" s="49">
        <v>168.00000000000011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F25C-096A-4BF6-B339-6D9F4E9EDB0B}">
  <dimension ref="B2:M24"/>
  <sheetViews>
    <sheetView topLeftCell="A5" workbookViewId="0">
      <selection activeCell="C23" sqref="C23"/>
    </sheetView>
  </sheetViews>
  <sheetFormatPr baseColWidth="10" defaultColWidth="9.109375" defaultRowHeight="14.4" x14ac:dyDescent="0.3"/>
  <cols>
    <col min="1" max="1" width="2.21875" style="1" customWidth="1"/>
    <col min="2" max="2" width="4.77734375" style="1" customWidth="1"/>
    <col min="3" max="7" width="9.109375" style="1"/>
    <col min="8" max="8" width="13.44140625" style="1" customWidth="1"/>
    <col min="9" max="11" width="9.109375" style="1"/>
    <col min="12" max="12" width="14.77734375" style="1" customWidth="1"/>
    <col min="13" max="16384" width="9.109375" style="1"/>
  </cols>
  <sheetData>
    <row r="2" spans="2:13" ht="28.5" customHeight="1" x14ac:dyDescent="0.3">
      <c r="B2" s="40" t="s">
        <v>83</v>
      </c>
      <c r="C2" s="41"/>
      <c r="D2" s="41"/>
      <c r="E2" s="41"/>
      <c r="F2" s="42"/>
    </row>
    <row r="3" spans="2:13" x14ac:dyDescent="0.3">
      <c r="B3" s="43"/>
      <c r="C3" s="44"/>
      <c r="D3" s="44"/>
      <c r="E3" s="44"/>
      <c r="F3" s="45"/>
    </row>
    <row r="4" spans="2:13" x14ac:dyDescent="0.3">
      <c r="B4" s="43"/>
      <c r="C4" s="44"/>
      <c r="D4" s="44"/>
      <c r="E4" s="44"/>
      <c r="F4" s="45"/>
    </row>
    <row r="5" spans="2:13" x14ac:dyDescent="0.3">
      <c r="B5" s="43"/>
      <c r="C5" s="44"/>
      <c r="D5" s="44"/>
      <c r="E5" s="44"/>
      <c r="F5" s="45"/>
    </row>
    <row r="6" spans="2:13" x14ac:dyDescent="0.3">
      <c r="B6" s="46"/>
      <c r="C6" s="47"/>
      <c r="D6" s="47"/>
      <c r="E6" s="47"/>
      <c r="F6" s="48"/>
    </row>
    <row r="8" spans="2:13" x14ac:dyDescent="0.3">
      <c r="B8" s="2" t="s">
        <v>84</v>
      </c>
      <c r="C8" s="2"/>
    </row>
    <row r="9" spans="2:13" x14ac:dyDescent="0.3">
      <c r="B9" s="4" t="s">
        <v>85</v>
      </c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0" spans="2:13" x14ac:dyDescent="0.3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</row>
    <row r="11" spans="2:13" x14ac:dyDescent="0.3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</row>
    <row r="12" spans="2:13" x14ac:dyDescent="0.3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</row>
    <row r="13" spans="2:13" x14ac:dyDescent="0.3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</row>
    <row r="14" spans="2:13" x14ac:dyDescent="0.3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</row>
    <row r="15" spans="2:13" x14ac:dyDescent="0.3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2:13" x14ac:dyDescent="0.3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2:13" x14ac:dyDescent="0.3"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</row>
    <row r="18" spans="2:13" x14ac:dyDescent="0.3">
      <c r="B18" s="7" t="s">
        <v>86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2:13" x14ac:dyDescent="0.3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</row>
    <row r="21" spans="2:13" ht="28.8" x14ac:dyDescent="0.3">
      <c r="C21" s="15" t="s">
        <v>87</v>
      </c>
      <c r="D21" s="15" t="s">
        <v>88</v>
      </c>
      <c r="E21" s="15" t="s">
        <v>89</v>
      </c>
      <c r="F21" s="15" t="s">
        <v>90</v>
      </c>
      <c r="H21" s="16" t="s">
        <v>91</v>
      </c>
      <c r="I21" s="16" t="s">
        <v>31</v>
      </c>
      <c r="J21" s="16" t="s">
        <v>35</v>
      </c>
      <c r="K21" s="16" t="s">
        <v>38</v>
      </c>
      <c r="L21" s="16" t="s">
        <v>17</v>
      </c>
    </row>
    <row r="22" spans="2:13" x14ac:dyDescent="0.3">
      <c r="B22" s="1" t="s">
        <v>92</v>
      </c>
      <c r="C22" s="14">
        <v>350</v>
      </c>
      <c r="D22" s="13">
        <v>1</v>
      </c>
      <c r="E22" s="13">
        <v>9</v>
      </c>
      <c r="F22" s="13">
        <v>12</v>
      </c>
      <c r="G22" s="3"/>
      <c r="H22" s="13">
        <v>122.00000000000001</v>
      </c>
      <c r="I22" s="13">
        <f>$H$22*D22</f>
        <v>122.00000000000001</v>
      </c>
      <c r="J22" s="13">
        <f t="shared" ref="J22:K22" si="0">$H$22*E22</f>
        <v>1098.0000000000002</v>
      </c>
      <c r="K22" s="13">
        <f t="shared" si="0"/>
        <v>1464.0000000000002</v>
      </c>
      <c r="L22" s="20">
        <f>H22*$C$22</f>
        <v>42700.000000000007</v>
      </c>
    </row>
    <row r="23" spans="2:13" x14ac:dyDescent="0.3">
      <c r="B23" s="1" t="s">
        <v>93</v>
      </c>
      <c r="C23" s="14">
        <v>300</v>
      </c>
      <c r="D23" s="13">
        <v>1</v>
      </c>
      <c r="E23" s="13">
        <v>6</v>
      </c>
      <c r="F23" s="13">
        <v>16</v>
      </c>
      <c r="G23" s="3"/>
      <c r="H23" s="13">
        <v>77.999999999999986</v>
      </c>
      <c r="I23" s="13">
        <f>$H$23*D23</f>
        <v>77.999999999999986</v>
      </c>
      <c r="J23" s="13">
        <f t="shared" ref="J23:K23" si="1">$H$23*E23</f>
        <v>467.99999999999989</v>
      </c>
      <c r="K23" s="13">
        <f t="shared" si="1"/>
        <v>1247.9999999999998</v>
      </c>
      <c r="L23" s="20">
        <f>H23*$C$23</f>
        <v>23399.999999999996</v>
      </c>
    </row>
    <row r="24" spans="2:13" x14ac:dyDescent="0.3">
      <c r="H24" s="17">
        <f>SUM(H22:H23)</f>
        <v>200</v>
      </c>
      <c r="I24" s="17">
        <f>SUM(I22:I23)</f>
        <v>200</v>
      </c>
      <c r="J24" s="17">
        <f t="shared" ref="J24:L24" si="2">SUM(J22:J23)</f>
        <v>1566</v>
      </c>
      <c r="K24" s="17">
        <f t="shared" si="2"/>
        <v>2712</v>
      </c>
      <c r="L24" s="18">
        <f t="shared" si="2"/>
        <v>66100</v>
      </c>
    </row>
  </sheetData>
  <mergeCells count="1">
    <mergeCell ref="B2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Answer Report</vt:lpstr>
      <vt:lpstr>Sensitivity Report</vt:lpstr>
      <vt:lpstr>Spider Plots</vt:lpstr>
      <vt:lpstr>Informe de respuestas 1</vt:lpstr>
      <vt:lpstr>Informe de sensibilidad 1</vt:lpstr>
      <vt:lpstr>Problem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Mtz</dc:creator>
  <cp:keywords/>
  <dc:description/>
  <cp:lastModifiedBy>HEREDIA PEREZ, LAMBDA REMIEL</cp:lastModifiedBy>
  <cp:revision/>
  <cp:lastPrinted>2025-01-29T00:10:41Z</cp:lastPrinted>
  <dcterms:created xsi:type="dcterms:W3CDTF">2025-01-23T18:46:20Z</dcterms:created>
  <dcterms:modified xsi:type="dcterms:W3CDTF">2026-08-27T01:28:20Z</dcterms:modified>
  <cp:category/>
  <cp:contentStatus/>
</cp:coreProperties>
</file>